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pivotTables/pivotTable1.xml" ContentType="application/vnd.openxmlformats-officedocument.spreadsheetml.pivotTable+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coope\Dropbox\BUS308 Group Project\"/>
    </mc:Choice>
  </mc:AlternateContent>
  <xr:revisionPtr revIDLastSave="0" documentId="13_ncr:1_{99EC8ADB-1C0C-4760-8312-FB0B5FFC5985}" xr6:coauthVersionLast="47" xr6:coauthVersionMax="47" xr10:uidLastSave="{00000000-0000-0000-0000-000000000000}"/>
  <bookViews>
    <workbookView xWindow="-120" yWindow="-120" windowWidth="29040" windowHeight="15840" tabRatio="734" xr2:uid="{00000000-000D-0000-FFFF-FFFF00000000}"/>
  </bookViews>
  <sheets>
    <sheet name="Homepage" sheetId="10" r:id="rId1"/>
    <sheet name="Customers" sheetId="8" r:id="rId2"/>
    <sheet name="Invoice" sheetId="12" r:id="rId3"/>
    <sheet name="Products" sheetId="9" r:id="rId4"/>
    <sheet name="Inventory" sheetId="2" r:id="rId5"/>
    <sheet name="Employees" sheetId="4" r:id="rId6"/>
    <sheet name="Suppliers" sheetId="11" r:id="rId7"/>
    <sheet name="Transactions" sheetId="6" r:id="rId8"/>
  </sheets>
  <externalReferences>
    <externalReference r:id="rId9"/>
  </externalReferences>
  <definedNames>
    <definedName name="_xlnm._FilterDatabase" localSheetId="6" hidden="1">Suppliers!$A$4:$F$23</definedName>
    <definedName name="_xlnm.Criteria" localSheetId="6">Suppliers!$J$4:$O$5</definedName>
    <definedName name="Employment_Status" localSheetId="1">'[1]Data Validation'!$B$2:$B$4</definedName>
    <definedName name="Employment_Status">#REF!</definedName>
    <definedName name="Job_Titles" localSheetId="1">'[1]Data Validation'!$A$2:$A$12</definedName>
    <definedName name="Job_Titles">#REF!</definedName>
  </definedNames>
  <calcPr calcId="191029" concurrentCalc="0"/>
  <pivotCaches>
    <pivotCache cacheId="0"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11" l="1"/>
  <c r="K6" i="4"/>
  <c r="K7" i="4"/>
  <c r="K8" i="4"/>
  <c r="K9" i="4"/>
  <c r="K5" i="4"/>
  <c r="E16" i="12" a="1"/>
  <c r="E16" i="12"/>
  <c r="G16" i="12"/>
  <c r="E17" i="12"/>
  <c r="G17" i="12"/>
  <c r="E18" i="12"/>
  <c r="G18" i="12"/>
  <c r="E19" i="12"/>
  <c r="G19" i="12"/>
  <c r="E20" i="12"/>
  <c r="G20" i="12"/>
  <c r="E21" i="12"/>
  <c r="G21" i="12"/>
  <c r="E22" i="12"/>
  <c r="G22" i="12"/>
  <c r="E23" i="12"/>
  <c r="G23" i="12"/>
  <c r="E24" i="12"/>
  <c r="G24" i="12"/>
  <c r="E25" i="12"/>
  <c r="G25" i="12"/>
  <c r="E26" i="12"/>
  <c r="G26" i="12"/>
  <c r="E27" i="12"/>
  <c r="G27" i="12"/>
  <c r="E28" i="12"/>
  <c r="G28" i="12"/>
  <c r="E29" i="12"/>
  <c r="G29" i="12"/>
  <c r="E30" i="12"/>
  <c r="G30" i="12"/>
  <c r="E31" i="12"/>
  <c r="G31" i="12"/>
  <c r="E32" i="12"/>
  <c r="G32" i="12"/>
  <c r="E33" i="12"/>
  <c r="G33" i="12"/>
  <c r="E38" i="12"/>
  <c r="E39" i="12"/>
  <c r="E40" i="12"/>
  <c r="E37" i="12"/>
  <c r="D17" i="12" a="1"/>
  <c r="D17" i="12"/>
  <c r="D18" i="12" a="1"/>
  <c r="D18" i="12"/>
  <c r="D19" i="12" a="1"/>
  <c r="D19" i="12"/>
  <c r="D20" i="12" a="1"/>
  <c r="D20" i="12"/>
  <c r="D21" i="12" a="1"/>
  <c r="D21" i="12"/>
  <c r="D22" i="12" a="1"/>
  <c r="D22" i="12"/>
  <c r="D23" i="12" a="1"/>
  <c r="D23" i="12"/>
  <c r="D24" i="12" a="1"/>
  <c r="D24" i="12"/>
  <c r="D25" i="12" a="1"/>
  <c r="D25" i="12"/>
  <c r="D26" i="12" a="1"/>
  <c r="D26" i="12"/>
  <c r="D27" i="12" a="1"/>
  <c r="D27" i="12"/>
  <c r="D28" i="12" a="1"/>
  <c r="D28" i="12"/>
  <c r="D29" i="12" a="1"/>
  <c r="D29" i="12"/>
  <c r="D30" i="12" a="1"/>
  <c r="D30" i="12"/>
  <c r="D31" i="12" a="1"/>
  <c r="D31" i="12"/>
  <c r="D32" i="12" a="1"/>
  <c r="D32" i="12"/>
  <c r="D33" i="12" a="1"/>
  <c r="D33" i="12"/>
  <c r="H6" i="8"/>
  <c r="H7" i="8"/>
  <c r="H8" i="8"/>
  <c r="H9" i="8"/>
  <c r="H10" i="8"/>
  <c r="H11" i="8"/>
  <c r="H12" i="8"/>
  <c r="H13" i="8"/>
  <c r="H14" i="8"/>
  <c r="H15" i="8"/>
  <c r="H16" i="8"/>
  <c r="H17" i="8"/>
  <c r="H18" i="8"/>
  <c r="H19" i="8"/>
  <c r="H20" i="8"/>
  <c r="H21" i="8"/>
  <c r="H22" i="8"/>
  <c r="H23" i="8"/>
  <c r="H24" i="8"/>
  <c r="H25" i="8"/>
  <c r="B5" i="12"/>
  <c r="D25" i="8"/>
  <c r="D24" i="8"/>
  <c r="D23" i="8"/>
  <c r="D22" i="8"/>
  <c r="D21" i="8"/>
  <c r="D20" i="8"/>
  <c r="D19" i="8"/>
  <c r="D18" i="8"/>
  <c r="D17" i="8"/>
  <c r="D16" i="8"/>
  <c r="D15" i="8"/>
  <c r="D14" i="8"/>
  <c r="D13" i="8"/>
  <c r="D12" i="8"/>
  <c r="D11" i="8"/>
  <c r="D10" i="8"/>
  <c r="D9" i="8"/>
  <c r="D8" i="8"/>
</calcChain>
</file>

<file path=xl/sharedStrings.xml><?xml version="1.0" encoding="utf-8"?>
<sst xmlns="http://schemas.openxmlformats.org/spreadsheetml/2006/main" count="398" uniqueCount="262">
  <si>
    <t>Last Name</t>
  </si>
  <si>
    <t>First Name</t>
  </si>
  <si>
    <t>Full Name</t>
  </si>
  <si>
    <t>Job Title</t>
  </si>
  <si>
    <t>Phone Number</t>
  </si>
  <si>
    <t>Email</t>
  </si>
  <si>
    <t>Employment Status</t>
  </si>
  <si>
    <t>Hourly Wage</t>
  </si>
  <si>
    <t>Hire Date</t>
  </si>
  <si>
    <t>Birthdate</t>
  </si>
  <si>
    <t>Schaefer</t>
  </si>
  <si>
    <t>CEO</t>
  </si>
  <si>
    <t>CFO</t>
  </si>
  <si>
    <t>COO</t>
  </si>
  <si>
    <t>CTO</t>
  </si>
  <si>
    <t>CMO</t>
  </si>
  <si>
    <t>Smith</t>
  </si>
  <si>
    <t>Ryan</t>
  </si>
  <si>
    <t>Dunbar</t>
  </si>
  <si>
    <t>Jessica</t>
  </si>
  <si>
    <t>Devoe</t>
  </si>
  <si>
    <t>Cooper</t>
  </si>
  <si>
    <t>Varela</t>
  </si>
  <si>
    <t>Christian</t>
  </si>
  <si>
    <t>Nicholas</t>
  </si>
  <si>
    <t>Salaried</t>
  </si>
  <si>
    <t>Full-Time</t>
  </si>
  <si>
    <t>Part-Time</t>
  </si>
  <si>
    <t>Ryan Smith</t>
  </si>
  <si>
    <t>Christian Varela</t>
  </si>
  <si>
    <t>Nicholas Schaefer</t>
  </si>
  <si>
    <t>Jessica Dunbar</t>
  </si>
  <si>
    <t>Cooper Devoe</t>
  </si>
  <si>
    <t>Email Address</t>
  </si>
  <si>
    <t>Address</t>
  </si>
  <si>
    <t>Customer Since</t>
  </si>
  <si>
    <t>Kendall</t>
  </si>
  <si>
    <t>Everett</t>
  </si>
  <si>
    <t>Otis</t>
  </si>
  <si>
    <t>Tasker</t>
  </si>
  <si>
    <t>Boyd</t>
  </si>
  <si>
    <t>Bennet</t>
  </si>
  <si>
    <t>Danny</t>
  </si>
  <si>
    <t>Emerson</t>
  </si>
  <si>
    <t>Taylor</t>
  </si>
  <si>
    <t>Minett</t>
  </si>
  <si>
    <t>Vinal</t>
  </si>
  <si>
    <t>Sydney</t>
  </si>
  <si>
    <t>Shannon</t>
  </si>
  <si>
    <t>Bonney</t>
  </si>
  <si>
    <t>Laura</t>
  </si>
  <si>
    <t>Mason</t>
  </si>
  <si>
    <t>Perry</t>
  </si>
  <si>
    <t>Easom</t>
  </si>
  <si>
    <t>Jack</t>
  </si>
  <si>
    <t>Vere</t>
  </si>
  <si>
    <t>Wes</t>
  </si>
  <si>
    <t>Martin</t>
  </si>
  <si>
    <t>Abbie</t>
  </si>
  <si>
    <t>Barbara</t>
  </si>
  <si>
    <t>Quinn</t>
  </si>
  <si>
    <t>#0039</t>
  </si>
  <si>
    <t>#0038</t>
  </si>
  <si>
    <t>#0037</t>
  </si>
  <si>
    <t>#0036</t>
  </si>
  <si>
    <t>#0035</t>
  </si>
  <si>
    <t>#0034</t>
  </si>
  <si>
    <t>#0033</t>
  </si>
  <si>
    <t>#0032</t>
  </si>
  <si>
    <t>#0031</t>
  </si>
  <si>
    <t>#0030</t>
  </si>
  <si>
    <t>#0029</t>
  </si>
  <si>
    <t>#0028</t>
  </si>
  <si>
    <t>#0027</t>
  </si>
  <si>
    <t>#0026</t>
  </si>
  <si>
    <t>#0025</t>
  </si>
  <si>
    <t>#0024</t>
  </si>
  <si>
    <t>#0023</t>
  </si>
  <si>
    <t>#0022</t>
  </si>
  <si>
    <t>#0021</t>
  </si>
  <si>
    <t>#0020</t>
  </si>
  <si>
    <t>#0019</t>
  </si>
  <si>
    <t>#0018</t>
  </si>
  <si>
    <t>#0017</t>
  </si>
  <si>
    <t>#0016</t>
  </si>
  <si>
    <t>#0015</t>
  </si>
  <si>
    <t>#0014</t>
  </si>
  <si>
    <t>#0013</t>
  </si>
  <si>
    <t>#0012</t>
  </si>
  <si>
    <t>#0011</t>
  </si>
  <si>
    <t>#0010</t>
  </si>
  <si>
    <t>#0009</t>
  </si>
  <si>
    <t>#0008</t>
  </si>
  <si>
    <t>#0007</t>
  </si>
  <si>
    <t>#0006</t>
  </si>
  <si>
    <t>#0005</t>
  </si>
  <si>
    <t>#0004</t>
  </si>
  <si>
    <t>#0003</t>
  </si>
  <si>
    <t>#0002</t>
  </si>
  <si>
    <t>#0001</t>
  </si>
  <si>
    <t>#0000</t>
  </si>
  <si>
    <t>Price</t>
  </si>
  <si>
    <t>Product Number</t>
  </si>
  <si>
    <t>Product Type</t>
  </si>
  <si>
    <t>Content Directory</t>
  </si>
  <si>
    <t>This information system (IS) has the goal of integrating and automating the collection and tracking of consumer, production, inventory, employee, supplier, and transaction data. This data can be used to forecast sales, inventory, and employee needs while also enabling the accounting department to use the data to create quarterly and annual financial reports to present to both internal and external stakeholders.</t>
  </si>
  <si>
    <t>About This Information System</t>
  </si>
  <si>
    <t>By using only ethically and sustainably sourced materials we seek to become an industry leader in eco-friendly clothing with a focus on comfort and style.</t>
  </si>
  <si>
    <t>Vision</t>
  </si>
  <si>
    <t>To lead the clothing industry in T-Shirt comfort design and fashion by producing sustainably sourced, quality apparel for environmentally conscious individuals.</t>
  </si>
  <si>
    <t>Mission Statement</t>
  </si>
  <si>
    <t xml:space="preserve"> Suppliers</t>
  </si>
  <si>
    <t>Order Type</t>
  </si>
  <si>
    <t>Quantity</t>
  </si>
  <si>
    <t>Date</t>
  </si>
  <si>
    <t>Supplier</t>
  </si>
  <si>
    <t>Socks (White)</t>
  </si>
  <si>
    <t>200 (pair)</t>
  </si>
  <si>
    <t xml:space="preserve">Hare's </t>
  </si>
  <si>
    <t>Shirts (Misc.)</t>
  </si>
  <si>
    <t>Herman Miller</t>
  </si>
  <si>
    <t>Shirt</t>
  </si>
  <si>
    <t>Landmark Supply Co.</t>
  </si>
  <si>
    <r>
      <t xml:space="preserve"> </t>
    </r>
    <r>
      <rPr>
        <b/>
        <sz val="28"/>
        <color theme="1" tint="0.14999847407452621"/>
        <rFont val="Palatino Linotype"/>
        <family val="1"/>
      </rPr>
      <t>Customers</t>
    </r>
  </si>
  <si>
    <t>Inventory</t>
  </si>
  <si>
    <t xml:space="preserve">  Employees</t>
  </si>
  <si>
    <t>Transactions</t>
  </si>
  <si>
    <t>Paul</t>
  </si>
  <si>
    <t>Johnson</t>
  </si>
  <si>
    <t>(831) 926-8125</t>
  </si>
  <si>
    <t>Paul.Johnson@csumb.edu</t>
  </si>
  <si>
    <t>223 St. James Ct, Salinas, CA, 93901</t>
  </si>
  <si>
    <t>James</t>
  </si>
  <si>
    <t>Monroe</t>
  </si>
  <si>
    <t>(831) 227-9845</t>
  </si>
  <si>
    <t>James.Monroe@csumb.edu</t>
  </si>
  <si>
    <t>781 18th St, Marina, CA, 93933</t>
  </si>
  <si>
    <t>John</t>
  </si>
  <si>
    <t>Parsons</t>
  </si>
  <si>
    <t>(831) 233-8691</t>
  </si>
  <si>
    <t>331 Boardwalk Ave, Marina, CA, 93933</t>
  </si>
  <si>
    <t>Jaden</t>
  </si>
  <si>
    <t>Cline</t>
  </si>
  <si>
    <t>282 Poole St, Castroville, CA, 95012</t>
  </si>
  <si>
    <t>Anthony</t>
  </si>
  <si>
    <t>Stevens</t>
  </si>
  <si>
    <t>(831) 924-8961</t>
  </si>
  <si>
    <t>261 Lighthouse Ave, Marina, CA, 93933</t>
  </si>
  <si>
    <t>152 Saint Helena St, Seaside, CA, 93955</t>
  </si>
  <si>
    <t>624 Medocinco St, Seaside, CA, 93955</t>
  </si>
  <si>
    <t>432 Highland St, Seaside, CA, 93955</t>
  </si>
  <si>
    <t>987 Soto St, Seaside, CA, 93955</t>
  </si>
  <si>
    <t>754 Luzern St, Seaside, CA, 93955</t>
  </si>
  <si>
    <t>475 Ferris Ave, Marina, CA, 93933</t>
  </si>
  <si>
    <t>Marshall</t>
  </si>
  <si>
    <t>O'Connor</t>
  </si>
  <si>
    <t>823 Sunrise Pl, Marina, CA, 93933</t>
  </si>
  <si>
    <t>231 Jean Cir, Marina, CA, 93933</t>
  </si>
  <si>
    <t>622 Marina Heights Dr, Marina, CA, 93933</t>
  </si>
  <si>
    <t>145 Orinda Way, Salinas, CA, 93901</t>
  </si>
  <si>
    <t>564 Ambrose Dr, Salinas, CA, 93901</t>
  </si>
  <si>
    <t>891 Saint Ann Dr, Salinas, CA, 93901</t>
  </si>
  <si>
    <t>Jameson</t>
  </si>
  <si>
    <t>299 Archer St, Salinas, CA, 93901</t>
  </si>
  <si>
    <t>May</t>
  </si>
  <si>
    <t>321 Rico St, Castroville, CA, 95012</t>
  </si>
  <si>
    <t>Bernard</t>
  </si>
  <si>
    <t>515 Crane St, Castroville, CA, 95012</t>
  </si>
  <si>
    <t>Invoice No.</t>
  </si>
  <si>
    <t>Sold By:</t>
  </si>
  <si>
    <t>Bill To:</t>
  </si>
  <si>
    <t>First Name:</t>
  </si>
  <si>
    <t>Last Name:</t>
  </si>
  <si>
    <t>Address:</t>
  </si>
  <si>
    <t>Phone Number:</t>
  </si>
  <si>
    <t>Product Description</t>
  </si>
  <si>
    <t>Product #</t>
  </si>
  <si>
    <t>Qty</t>
  </si>
  <si>
    <t>Subtotal</t>
  </si>
  <si>
    <t>Tax</t>
  </si>
  <si>
    <t>Total</t>
  </si>
  <si>
    <t>Customer Name</t>
  </si>
  <si>
    <t>Invoice Number</t>
  </si>
  <si>
    <t>Sold By</t>
  </si>
  <si>
    <t>M - Crew Neck Short - Black</t>
  </si>
  <si>
    <t>W - Crew Neck Short - Black</t>
  </si>
  <si>
    <t>M - Crew Neck Short - White</t>
  </si>
  <si>
    <t>W - Crew Neck Short - White</t>
  </si>
  <si>
    <t>M - Crew Neck Short - Beige</t>
  </si>
  <si>
    <t>W - Crew Neck Short - Beige</t>
  </si>
  <si>
    <t>M - Crew Neck Short - Grey</t>
  </si>
  <si>
    <t>W - Crew Neck Short - Grey</t>
  </si>
  <si>
    <t>M - Crew Neck Short - Forest Green</t>
  </si>
  <si>
    <t>W - Crew Neck Short - Forest Green</t>
  </si>
  <si>
    <t>M - Crew Neck Long S - Black</t>
  </si>
  <si>
    <t>W - Crew Neck Long S - Black</t>
  </si>
  <si>
    <t>M - Crew Neck Long S - White</t>
  </si>
  <si>
    <t>W - Crew Neck Long S - White</t>
  </si>
  <si>
    <t>M - Crew Neck Long S - Beige</t>
  </si>
  <si>
    <t>W - Crew Neck Long S - Biege</t>
  </si>
  <si>
    <t>M - Crew Neck Long S - Grey</t>
  </si>
  <si>
    <t>W - Crew Neck Long S - Grey</t>
  </si>
  <si>
    <t>M - Crew Neck Long S - Forest Green</t>
  </si>
  <si>
    <t>W - Crew Neck Long S - Forest Green</t>
  </si>
  <si>
    <t>M - V-Neck Short - Black</t>
  </si>
  <si>
    <t>W - V-Neck Short - Black</t>
  </si>
  <si>
    <t>M - V-Neck Short - White</t>
  </si>
  <si>
    <t>W - V-Neck Short - White</t>
  </si>
  <si>
    <t>M - V-Neck Short - Beige</t>
  </si>
  <si>
    <t>W - V-Neck Short - Beige</t>
  </si>
  <si>
    <t>M - V-Neck Short - Grey</t>
  </si>
  <si>
    <t>W - V-Neck Short - Grey</t>
  </si>
  <si>
    <t>M - V-Neck Short - Forest Green</t>
  </si>
  <si>
    <t>W - V-Neck Short - Forest Green</t>
  </si>
  <si>
    <t>M - V-Neck Long S - Black</t>
  </si>
  <si>
    <t>W - V-Neck Long S - Black</t>
  </si>
  <si>
    <t>M - V-Neck Long S - White</t>
  </si>
  <si>
    <t>W - V-Neck Long S - White</t>
  </si>
  <si>
    <t>M - V-Neck Long S - Beige</t>
  </si>
  <si>
    <t>W - V-Neck Long S - Beige</t>
  </si>
  <si>
    <t>M - V-Neck Long S - Grey</t>
  </si>
  <si>
    <t>W - V-Neck Long S - Grey</t>
  </si>
  <si>
    <t>M - V-Neck Long S - Forest Green</t>
  </si>
  <si>
    <t>W - V-Neck Long S - Forest Green</t>
  </si>
  <si>
    <t>Total Price</t>
  </si>
  <si>
    <t>Billing Date</t>
  </si>
  <si>
    <t>jdunbar@timmystees.com</t>
  </si>
  <si>
    <t>cdevoe@timmystees.com</t>
  </si>
  <si>
    <t>nschaefer@timmystees.com</t>
  </si>
  <si>
    <t>cvarela@timmystees.com</t>
  </si>
  <si>
    <t>rsmith@timmystees.com</t>
  </si>
  <si>
    <t>Sales Amount in $</t>
  </si>
  <si>
    <t>Zang</t>
  </si>
  <si>
    <t>Billy</t>
  </si>
  <si>
    <t>Tyson</t>
  </si>
  <si>
    <t>Lucky's</t>
  </si>
  <si>
    <t>Crew Neck</t>
  </si>
  <si>
    <t>V-neck</t>
  </si>
  <si>
    <t>Larry's Threads</t>
  </si>
  <si>
    <t>Ink</t>
  </si>
  <si>
    <t>4000 qt.</t>
  </si>
  <si>
    <t>Flourescent Fate</t>
  </si>
  <si>
    <t>ADVANCED ORDER FILTER</t>
  </si>
  <si>
    <t>Enter detailed criteria below and click 'Filter' to see all matches</t>
  </si>
  <si>
    <t>Results:</t>
  </si>
  <si>
    <t>Quantity on Hand</t>
  </si>
  <si>
    <t xml:space="preserve"> Product Description</t>
  </si>
  <si>
    <t>Birthday?</t>
  </si>
  <si>
    <t>coopdoop@gmail.com</t>
  </si>
  <si>
    <t>562 Linmore Dr., Castroville, CA, 95012</t>
  </si>
  <si>
    <t>Wait.</t>
  </si>
  <si>
    <t>#45</t>
  </si>
  <si>
    <t>Row Labels</t>
  </si>
  <si>
    <t>(blank)</t>
  </si>
  <si>
    <t>Grand Total</t>
  </si>
  <si>
    <t>Sum of Price</t>
  </si>
  <si>
    <t>(All)</t>
  </si>
  <si>
    <t>Stock Value Summation</t>
  </si>
  <si>
    <t>Note: Click the "Timmy's Tees" logo on any worksheet to redirect you back to the homepage</t>
  </si>
  <si>
    <t>Products</t>
  </si>
  <si>
    <t>Invoice</t>
  </si>
  <si>
    <t>Leopold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</si>
</sst>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8" formatCode="&quot;$&quot;#,##0.00_);[Red]\(&quot;$&quot;#,##0.00\)"/>
    <numFmt numFmtId="44" formatCode="_(&quot;$&quot;* #,##0.00_);_(&quot;$&quot;* \(#,##0.00\);_(&quot;$&quot;* &quot;-&quot;??_);_(@_)"/>
    <numFmt numFmtId="164" formatCode="[&lt;=9999999]###\-####;\(###\)\ ###\-####"/>
    <numFmt numFmtId="165" formatCode="&quot;$&quot;#,##0.00"/>
  </numFmts>
  <fonts count="12" x14ac:knownFonts="1">
    <font>
      <sz val="11"/>
      <color theme="1"/>
      <name val="Calibri"/>
      <family val="2"/>
      <scheme val="minor"/>
    </font>
    <font>
      <sz val="11"/>
      <color theme="1"/>
      <name val="Calibri"/>
      <family val="2"/>
      <scheme val="minor"/>
    </font>
    <font>
      <sz val="11"/>
      <color theme="1"/>
      <name val="Palatino Linotype"/>
      <family val="1"/>
    </font>
    <font>
      <b/>
      <sz val="11"/>
      <color theme="1"/>
      <name val="Palatino Linotype"/>
      <family val="1"/>
    </font>
    <font>
      <b/>
      <sz val="28"/>
      <color theme="1" tint="0.14999847407452621"/>
      <name val="Palatino Linotype"/>
      <family val="1"/>
    </font>
    <font>
      <b/>
      <sz val="28"/>
      <color theme="1"/>
      <name val="Palatino Linotype"/>
      <family val="1"/>
    </font>
    <font>
      <u/>
      <sz val="11"/>
      <color theme="10"/>
      <name val="Calibri"/>
      <family val="2"/>
      <scheme val="minor"/>
    </font>
    <font>
      <sz val="12"/>
      <color rgb="FF000000"/>
      <name val="Palatino Linotype"/>
      <family val="1"/>
    </font>
    <font>
      <sz val="11"/>
      <color rgb="FF000000"/>
      <name val="Palatino Linotype"/>
      <family val="1"/>
    </font>
    <font>
      <i/>
      <sz val="8"/>
      <color theme="1"/>
      <name val="Palatino Linotype"/>
      <family val="1"/>
    </font>
    <font>
      <sz val="11"/>
      <name val="Palatino Linotype"/>
      <family val="1"/>
    </font>
    <font>
      <i/>
      <sz val="11"/>
      <color theme="1"/>
      <name val="Palatino Linotype"/>
      <family val="1"/>
    </font>
  </fonts>
  <fills count="4">
    <fill>
      <patternFill patternType="none"/>
    </fill>
    <fill>
      <patternFill patternType="gray125"/>
    </fill>
    <fill>
      <patternFill patternType="solid">
        <fgColor theme="0"/>
        <bgColor indexed="64"/>
      </patternFill>
    </fill>
    <fill>
      <patternFill patternType="solid">
        <fgColor theme="1" tint="0.499984740745262"/>
        <bgColor indexed="64"/>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rgb="FF000000"/>
      </left>
      <right/>
      <top/>
      <bottom style="thin">
        <color rgb="FF000000"/>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cellStyleXfs>
  <cellXfs count="95">
    <xf numFmtId="0" fontId="0" fillId="0" borderId="0" xfId="0"/>
    <xf numFmtId="0" fontId="0" fillId="2" borderId="0" xfId="0" applyFill="1"/>
    <xf numFmtId="0" fontId="2" fillId="2" borderId="0" xfId="0" applyFont="1" applyFill="1" applyAlignment="1">
      <alignment horizontal="center"/>
    </xf>
    <xf numFmtId="0" fontId="3" fillId="3" borderId="0" xfId="0" applyFont="1" applyFill="1" applyAlignment="1">
      <alignment horizontal="center"/>
    </xf>
    <xf numFmtId="0" fontId="3" fillId="3" borderId="7" xfId="0" applyFont="1" applyFill="1" applyBorder="1" applyAlignment="1">
      <alignment horizontal="center"/>
    </xf>
    <xf numFmtId="0" fontId="2" fillId="3" borderId="0" xfId="0" applyFont="1" applyFill="1" applyAlignment="1">
      <alignment horizontal="center"/>
    </xf>
    <xf numFmtId="0" fontId="2" fillId="0" borderId="0" xfId="0" applyFont="1" applyFill="1" applyAlignment="1">
      <alignment horizontal="center"/>
    </xf>
    <xf numFmtId="44" fontId="2" fillId="0" borderId="0" xfId="1" applyFont="1" applyFill="1" applyAlignment="1">
      <alignment horizontal="center"/>
    </xf>
    <xf numFmtId="14" fontId="2" fillId="0" borderId="0" xfId="0" applyNumberFormat="1" applyFont="1" applyFill="1" applyAlignment="1">
      <alignment horizontal="center"/>
    </xf>
    <xf numFmtId="164" fontId="2" fillId="0" borderId="0" xfId="0" applyNumberFormat="1" applyFont="1" applyFill="1" applyAlignment="1">
      <alignment horizontal="center"/>
    </xf>
    <xf numFmtId="0" fontId="2" fillId="2" borderId="8" xfId="0" applyFont="1" applyFill="1" applyBorder="1"/>
    <xf numFmtId="0" fontId="2" fillId="0" borderId="2" xfId="1" applyNumberFormat="1" applyFont="1" applyFill="1" applyBorder="1" applyAlignment="1">
      <alignment horizontal="center"/>
    </xf>
    <xf numFmtId="19" fontId="2" fillId="2" borderId="0" xfId="0" applyNumberFormat="1" applyFont="1" applyFill="1"/>
    <xf numFmtId="0" fontId="2" fillId="2" borderId="0" xfId="0" applyFont="1" applyFill="1"/>
    <xf numFmtId="0" fontId="2" fillId="2" borderId="4" xfId="0" applyFont="1" applyFill="1" applyBorder="1"/>
    <xf numFmtId="0" fontId="3" fillId="3" borderId="2" xfId="0" applyFont="1" applyFill="1" applyBorder="1"/>
    <xf numFmtId="0" fontId="2" fillId="0" borderId="1" xfId="2" applyFont="1" applyFill="1" applyBorder="1" applyAlignment="1">
      <alignment horizontal="center"/>
    </xf>
    <xf numFmtId="0" fontId="2" fillId="0" borderId="1" xfId="2" applyNumberFormat="1" applyFont="1" applyFill="1" applyBorder="1" applyAlignment="1">
      <alignment horizontal="center"/>
    </xf>
    <xf numFmtId="0" fontId="2" fillId="0" borderId="7" xfId="2" applyFont="1" applyFill="1" applyBorder="1" applyAlignment="1">
      <alignment horizontal="center"/>
    </xf>
    <xf numFmtId="0" fontId="0" fillId="0" borderId="0" xfId="0" applyFill="1"/>
    <xf numFmtId="19" fontId="0" fillId="0" borderId="0" xfId="0" applyNumberFormat="1" applyFill="1"/>
    <xf numFmtId="0" fontId="2" fillId="0" borderId="0" xfId="0" applyFont="1" applyFill="1" applyAlignment="1">
      <alignment wrapText="1"/>
    </xf>
    <xf numFmtId="0" fontId="11" fillId="0" borderId="0" xfId="0" applyFont="1" applyFill="1" applyAlignment="1">
      <alignment wrapText="1"/>
    </xf>
    <xf numFmtId="0" fontId="2" fillId="0" borderId="0" xfId="0" applyFont="1" applyFill="1"/>
    <xf numFmtId="0" fontId="2" fillId="0" borderId="0" xfId="0" applyFont="1" applyFill="1" applyBorder="1" applyAlignment="1">
      <alignment horizontal="center"/>
    </xf>
    <xf numFmtId="0" fontId="2" fillId="0" borderId="7" xfId="0" applyFont="1" applyFill="1" applyBorder="1" applyAlignment="1">
      <alignment horizontal="center"/>
    </xf>
    <xf numFmtId="14" fontId="2" fillId="0" borderId="7" xfId="0" applyNumberFormat="1" applyFont="1" applyFill="1" applyBorder="1" applyAlignment="1">
      <alignment horizontal="center"/>
    </xf>
    <xf numFmtId="14" fontId="2" fillId="0" borderId="20" xfId="0" applyNumberFormat="1" applyFont="1" applyFill="1" applyBorder="1" applyAlignment="1">
      <alignment horizontal="center"/>
    </xf>
    <xf numFmtId="0" fontId="2" fillId="0" borderId="6" xfId="0" applyFont="1" applyFill="1" applyBorder="1" applyAlignment="1">
      <alignment horizontal="center"/>
    </xf>
    <xf numFmtId="0" fontId="2" fillId="0" borderId="1" xfId="0" applyFont="1" applyFill="1" applyBorder="1" applyAlignment="1">
      <alignment horizontal="center"/>
    </xf>
    <xf numFmtId="14" fontId="2" fillId="0" borderId="1" xfId="0" applyNumberFormat="1" applyFont="1" applyFill="1" applyBorder="1" applyAlignment="1">
      <alignment horizontal="center"/>
    </xf>
    <xf numFmtId="14" fontId="2" fillId="0" borderId="5" xfId="0" applyNumberFormat="1" applyFont="1" applyFill="1" applyBorder="1" applyAlignment="1">
      <alignment horizontal="center"/>
    </xf>
    <xf numFmtId="0" fontId="2" fillId="0" borderId="2" xfId="0" applyFont="1" applyFill="1" applyBorder="1" applyAlignment="1">
      <alignment horizontal="center"/>
    </xf>
    <xf numFmtId="164" fontId="2" fillId="0" borderId="1" xfId="0" applyNumberFormat="1" applyFont="1" applyFill="1" applyBorder="1" applyAlignment="1">
      <alignment horizontal="center"/>
    </xf>
    <xf numFmtId="0" fontId="0" fillId="0" borderId="0" xfId="0" applyFill="1" applyAlignment="1">
      <alignment horizontal="center"/>
    </xf>
    <xf numFmtId="14" fontId="2" fillId="0" borderId="2" xfId="0" applyNumberFormat="1" applyFont="1" applyFill="1" applyBorder="1" applyAlignment="1">
      <alignment horizontal="center"/>
    </xf>
    <xf numFmtId="0" fontId="2" fillId="0" borderId="8" xfId="0" applyFont="1" applyFill="1" applyBorder="1"/>
    <xf numFmtId="165" fontId="2" fillId="0" borderId="2" xfId="0" applyNumberFormat="1" applyFont="1" applyFill="1" applyBorder="1" applyAlignment="1">
      <alignment horizontal="center"/>
    </xf>
    <xf numFmtId="0" fontId="2" fillId="3" borderId="10" xfId="0" applyFont="1" applyFill="1" applyBorder="1" applyAlignment="1">
      <alignment horizontal="right"/>
    </xf>
    <xf numFmtId="0" fontId="2" fillId="3" borderId="11" xfId="0" applyFont="1" applyFill="1" applyBorder="1"/>
    <xf numFmtId="0" fontId="2" fillId="3" borderId="12" xfId="0" applyFont="1" applyFill="1" applyBorder="1"/>
    <xf numFmtId="0" fontId="2" fillId="3" borderId="12" xfId="0" applyFont="1" applyFill="1" applyBorder="1" applyAlignment="1">
      <alignment horizontal="center"/>
    </xf>
    <xf numFmtId="0" fontId="2" fillId="3" borderId="2" xfId="0" applyFont="1" applyFill="1" applyBorder="1" applyAlignment="1">
      <alignment horizontal="center"/>
    </xf>
    <xf numFmtId="0" fontId="2" fillId="3" borderId="9" xfId="0" applyFont="1" applyFill="1" applyBorder="1" applyAlignment="1">
      <alignment horizontal="right"/>
    </xf>
    <xf numFmtId="0" fontId="2" fillId="3" borderId="2" xfId="0" applyFont="1" applyFill="1" applyBorder="1" applyAlignment="1">
      <alignment horizontal="right"/>
    </xf>
    <xf numFmtId="0" fontId="2" fillId="3" borderId="2" xfId="0" applyFont="1" applyFill="1" applyBorder="1"/>
    <xf numFmtId="0" fontId="2" fillId="2" borderId="2" xfId="0" applyFont="1" applyFill="1" applyBorder="1" applyAlignment="1">
      <alignment horizontal="center"/>
    </xf>
    <xf numFmtId="14" fontId="2" fillId="2" borderId="2" xfId="0" applyNumberFormat="1" applyFont="1" applyFill="1" applyBorder="1" applyAlignment="1">
      <alignment horizontal="center"/>
    </xf>
    <xf numFmtId="0" fontId="2" fillId="2" borderId="9" xfId="0" applyFont="1" applyFill="1" applyBorder="1" applyAlignment="1">
      <alignment horizontal="center"/>
    </xf>
    <xf numFmtId="164" fontId="2" fillId="2" borderId="9" xfId="0" applyNumberFormat="1" applyFont="1" applyFill="1" applyBorder="1" applyAlignment="1">
      <alignment horizontal="center"/>
    </xf>
    <xf numFmtId="165" fontId="2" fillId="2" borderId="2" xfId="0" applyNumberFormat="1" applyFont="1" applyFill="1" applyBorder="1" applyAlignment="1">
      <alignment horizontal="center"/>
    </xf>
    <xf numFmtId="0" fontId="2" fillId="2" borderId="13" xfId="0" applyFont="1" applyFill="1" applyBorder="1"/>
    <xf numFmtId="0" fontId="2" fillId="2" borderId="14" xfId="0" applyFont="1" applyFill="1" applyBorder="1"/>
    <xf numFmtId="0" fontId="2" fillId="2" borderId="15" xfId="0" applyFont="1" applyFill="1" applyBorder="1"/>
    <xf numFmtId="0" fontId="2" fillId="2" borderId="16" xfId="0" applyFont="1" applyFill="1" applyBorder="1"/>
    <xf numFmtId="0" fontId="2" fillId="2" borderId="2" xfId="0" applyFont="1" applyFill="1" applyBorder="1"/>
    <xf numFmtId="165" fontId="2" fillId="2" borderId="2" xfId="1" applyNumberFormat="1" applyFont="1" applyFill="1" applyBorder="1"/>
    <xf numFmtId="0" fontId="2" fillId="2" borderId="17" xfId="0" applyFont="1" applyFill="1" applyBorder="1"/>
    <xf numFmtId="165" fontId="2" fillId="2" borderId="18" xfId="1" applyNumberFormat="1" applyFont="1" applyFill="1" applyBorder="1"/>
    <xf numFmtId="0" fontId="3" fillId="2" borderId="19" xfId="0" applyFont="1" applyFill="1" applyBorder="1"/>
    <xf numFmtId="165" fontId="3" fillId="2" borderId="9" xfId="1" applyNumberFormat="1" applyFont="1" applyFill="1" applyBorder="1"/>
    <xf numFmtId="0" fontId="2" fillId="3" borderId="8" xfId="0" applyFont="1" applyFill="1" applyBorder="1"/>
    <xf numFmtId="0" fontId="3" fillId="0" borderId="0" xfId="0" applyFont="1" applyFill="1"/>
    <xf numFmtId="0" fontId="0" fillId="0" borderId="0" xfId="0" applyFill="1" applyAlignment="1">
      <alignment horizontal="left"/>
    </xf>
    <xf numFmtId="0" fontId="0" fillId="0" borderId="0" xfId="0" applyNumberFormat="1" applyFill="1"/>
    <xf numFmtId="44" fontId="0" fillId="0" borderId="0" xfId="1" applyFont="1" applyFill="1" applyAlignment="1">
      <alignment horizontal="center"/>
    </xf>
    <xf numFmtId="44" fontId="2" fillId="3" borderId="0" xfId="1" applyFont="1" applyFill="1" applyAlignment="1">
      <alignment horizontal="center"/>
    </xf>
    <xf numFmtId="2" fontId="2" fillId="0" borderId="0" xfId="0" applyNumberFormat="1" applyFont="1" applyFill="1" applyAlignment="1">
      <alignment horizontal="center"/>
    </xf>
    <xf numFmtId="2" fontId="2" fillId="0" borderId="0" xfId="0" applyNumberFormat="1" applyFont="1" applyFill="1"/>
    <xf numFmtId="2" fontId="2" fillId="3" borderId="0" xfId="0" applyNumberFormat="1" applyFont="1" applyFill="1" applyAlignment="1">
      <alignment horizontal="center"/>
    </xf>
    <xf numFmtId="164" fontId="2" fillId="0" borderId="2" xfId="0" applyNumberFormat="1" applyFont="1" applyFill="1" applyBorder="1" applyAlignment="1">
      <alignment horizontal="center"/>
    </xf>
    <xf numFmtId="0" fontId="10" fillId="0" borderId="2" xfId="2" applyFont="1" applyFill="1" applyBorder="1" applyAlignment="1">
      <alignment horizontal="center"/>
    </xf>
    <xf numFmtId="8" fontId="2" fillId="0" borderId="2" xfId="0" applyNumberFormat="1" applyFont="1" applyFill="1" applyBorder="1" applyAlignment="1">
      <alignment horizontal="center"/>
    </xf>
    <xf numFmtId="0" fontId="10" fillId="0" borderId="0" xfId="0" applyFont="1" applyFill="1" applyAlignment="1">
      <alignment horizontal="center"/>
    </xf>
    <xf numFmtId="164" fontId="2" fillId="0" borderId="0" xfId="0" applyNumberFormat="1" applyFont="1" applyFill="1"/>
    <xf numFmtId="0" fontId="10" fillId="0" borderId="0" xfId="0" applyFont="1" applyFill="1"/>
    <xf numFmtId="14" fontId="2" fillId="0" borderId="0" xfId="0" applyNumberFormat="1" applyFont="1" applyFill="1" applyAlignment="1">
      <alignment horizontal="center" vertical="center"/>
    </xf>
    <xf numFmtId="14" fontId="2" fillId="0" borderId="0" xfId="0" applyNumberFormat="1" applyFont="1" applyFill="1"/>
    <xf numFmtId="0" fontId="2" fillId="3" borderId="0" xfId="0" applyFont="1" applyFill="1"/>
    <xf numFmtId="0" fontId="9" fillId="3" borderId="0" xfId="0" applyFont="1" applyFill="1"/>
    <xf numFmtId="44" fontId="2" fillId="2" borderId="2" xfId="1" applyFont="1" applyFill="1" applyBorder="1" applyAlignment="1">
      <alignment horizontal="center"/>
    </xf>
    <xf numFmtId="164" fontId="2" fillId="2" borderId="2" xfId="0" applyNumberFormat="1" applyFont="1" applyFill="1" applyBorder="1" applyAlignment="1">
      <alignment horizontal="center"/>
    </xf>
    <xf numFmtId="7" fontId="2" fillId="0" borderId="2" xfId="0" applyNumberFormat="1" applyFont="1" applyFill="1" applyBorder="1" applyAlignment="1">
      <alignment horizontal="center"/>
    </xf>
    <xf numFmtId="19" fontId="2" fillId="0" borderId="2" xfId="0" applyNumberFormat="1" applyFont="1" applyFill="1" applyBorder="1" applyAlignment="1">
      <alignment horizontal="center"/>
    </xf>
    <xf numFmtId="0" fontId="3" fillId="3" borderId="2" xfId="0" applyFont="1" applyFill="1" applyBorder="1" applyAlignment="1">
      <alignment horizontal="center"/>
    </xf>
    <xf numFmtId="0" fontId="3" fillId="3" borderId="0" xfId="0" applyFont="1" applyFill="1" applyAlignment="1">
      <alignment wrapText="1"/>
    </xf>
    <xf numFmtId="0" fontId="5" fillId="2" borderId="0" xfId="0" applyFont="1" applyFill="1"/>
    <xf numFmtId="0" fontId="2" fillId="2" borderId="0" xfId="0" applyFont="1" applyFill="1"/>
    <xf numFmtId="0" fontId="2" fillId="2" borderId="3" xfId="0" applyFont="1" applyFill="1" applyBorder="1"/>
    <xf numFmtId="0" fontId="2" fillId="2" borderId="10" xfId="0" applyFont="1" applyFill="1" applyBorder="1" applyAlignment="1">
      <alignment horizontal="center"/>
    </xf>
    <xf numFmtId="0" fontId="2" fillId="2" borderId="11" xfId="0" applyFont="1" applyFill="1" applyBorder="1" applyAlignment="1">
      <alignment horizontal="center"/>
    </xf>
    <xf numFmtId="0" fontId="2" fillId="2" borderId="12" xfId="0" applyFont="1" applyFill="1" applyBorder="1" applyAlignment="1">
      <alignment horizontal="center"/>
    </xf>
    <xf numFmtId="0" fontId="0" fillId="2" borderId="0" xfId="0" applyFill="1"/>
    <xf numFmtId="0" fontId="4" fillId="2" borderId="0" xfId="0" applyFont="1" applyFill="1"/>
    <xf numFmtId="0" fontId="2" fillId="2" borderId="4" xfId="0" applyFont="1" applyFill="1" applyBorder="1"/>
  </cellXfs>
  <cellStyles count="3">
    <cellStyle name="Currency" xfId="1" builtinId="4"/>
    <cellStyle name="Hyperlink" xfId="2" builtinId="8"/>
    <cellStyle name="Normal" xfId="0" builtinId="0"/>
  </cellStyles>
  <dxfs count="18">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trike val="0"/>
        <outline val="0"/>
        <shadow val="0"/>
        <u val="none"/>
        <vertAlign val="baseline"/>
        <sz val="11"/>
        <color theme="1"/>
        <name val="Palatino Linotype"/>
        <family val="1"/>
        <scheme val="none"/>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Palatino Linotype"/>
        <family val="1"/>
        <scheme val="none"/>
      </font>
      <numFmt numFmtId="19"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indexed="64"/>
        </right>
        <top style="thin">
          <color rgb="FF000000"/>
        </top>
        <bottom style="thin">
          <color rgb="FF000000"/>
        </bottom>
      </border>
    </dxf>
    <dxf>
      <font>
        <strike val="0"/>
        <outline val="0"/>
        <shadow val="0"/>
        <u val="none"/>
        <vertAlign val="baseline"/>
        <sz val="11"/>
        <color theme="1"/>
        <name val="Palatino Linotype"/>
        <family val="1"/>
        <scheme val="none"/>
      </font>
      <numFmt numFmtId="19"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numFmt numFmtId="164" formatCode="[&lt;=9999999]###\-####;\(###\)\ ###\-####"/>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top style="thin">
          <color rgb="FF000000"/>
        </top>
      </border>
    </dxf>
    <dxf>
      <font>
        <strike val="0"/>
        <outline val="0"/>
        <shadow val="0"/>
        <u val="none"/>
        <vertAlign val="baseline"/>
        <sz val="11"/>
        <color theme="1"/>
        <name val="Palatino Linotype"/>
        <family val="1"/>
        <scheme val="none"/>
      </font>
      <fill>
        <patternFill patternType="none">
          <fgColor indexed="64"/>
          <bgColor auto="1"/>
        </patternFill>
      </fill>
      <alignment horizontal="center" vertical="bottom"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theme="1"/>
        <name val="Palatino Linotype"/>
        <family val="1"/>
        <scheme val="none"/>
      </font>
      <fill>
        <patternFill patternType="solid">
          <fgColor indexed="64"/>
          <bgColor theme="1" tint="0.499984740745262"/>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16.jp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6.jpg"/><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solidFill>
                  <a:schemeClr val="tx1"/>
                </a:solidFill>
                <a:latin typeface="Palatino Linotype" panose="02040502050505030304" pitchFamily="18" charset="0"/>
              </a:rPr>
              <a:t>Quantity of</a:t>
            </a:r>
            <a:r>
              <a:rPr lang="en-US" sz="1400" b="1" baseline="0">
                <a:solidFill>
                  <a:schemeClr val="tx1"/>
                </a:solidFill>
                <a:latin typeface="Palatino Linotype" panose="02040502050505030304" pitchFamily="18" charset="0"/>
              </a:rPr>
              <a:t> Product on Hand</a:t>
            </a:r>
            <a:endParaRPr lang="en-US" sz="1400" b="1">
              <a:solidFill>
                <a:schemeClr val="tx1"/>
              </a:solidFill>
              <a:latin typeface="Palatino Linotype" panose="0204050205050503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Inventory!$A$5:$A$44</c:f>
              <c:strCache>
                <c:ptCount val="40"/>
                <c:pt idx="0">
                  <c:v>#0000</c:v>
                </c:pt>
                <c:pt idx="1">
                  <c:v>#0001</c:v>
                </c:pt>
                <c:pt idx="2">
                  <c:v>#0002</c:v>
                </c:pt>
                <c:pt idx="3">
                  <c:v>#0003</c:v>
                </c:pt>
                <c:pt idx="4">
                  <c:v>#0004</c:v>
                </c:pt>
                <c:pt idx="5">
                  <c:v>#0005</c:v>
                </c:pt>
                <c:pt idx="6">
                  <c:v>#0006</c:v>
                </c:pt>
                <c:pt idx="7">
                  <c:v>#0007</c:v>
                </c:pt>
                <c:pt idx="8">
                  <c:v>#0008</c:v>
                </c:pt>
                <c:pt idx="9">
                  <c:v>#0009</c:v>
                </c:pt>
                <c:pt idx="10">
                  <c:v>#0010</c:v>
                </c:pt>
                <c:pt idx="11">
                  <c:v>#0011</c:v>
                </c:pt>
                <c:pt idx="12">
                  <c:v>#0012</c:v>
                </c:pt>
                <c:pt idx="13">
                  <c:v>#0013</c:v>
                </c:pt>
                <c:pt idx="14">
                  <c:v>#0014</c:v>
                </c:pt>
                <c:pt idx="15">
                  <c:v>#0015</c:v>
                </c:pt>
                <c:pt idx="16">
                  <c:v>#0016</c:v>
                </c:pt>
                <c:pt idx="17">
                  <c:v>#0017</c:v>
                </c:pt>
                <c:pt idx="18">
                  <c:v>#0018</c:v>
                </c:pt>
                <c:pt idx="19">
                  <c:v>#0019</c:v>
                </c:pt>
                <c:pt idx="20">
                  <c:v>#0020</c:v>
                </c:pt>
                <c:pt idx="21">
                  <c:v>#0021</c:v>
                </c:pt>
                <c:pt idx="22">
                  <c:v>#0022</c:v>
                </c:pt>
                <c:pt idx="23">
                  <c:v>#0023</c:v>
                </c:pt>
                <c:pt idx="24">
                  <c:v>#0024</c:v>
                </c:pt>
                <c:pt idx="25">
                  <c:v>#0025</c:v>
                </c:pt>
                <c:pt idx="26">
                  <c:v>#0026</c:v>
                </c:pt>
                <c:pt idx="27">
                  <c:v>#0027</c:v>
                </c:pt>
                <c:pt idx="28">
                  <c:v>#0028</c:v>
                </c:pt>
                <c:pt idx="29">
                  <c:v>#0029</c:v>
                </c:pt>
                <c:pt idx="30">
                  <c:v>#0030</c:v>
                </c:pt>
                <c:pt idx="31">
                  <c:v>#0031</c:v>
                </c:pt>
                <c:pt idx="32">
                  <c:v>#0032</c:v>
                </c:pt>
                <c:pt idx="33">
                  <c:v>#0033</c:v>
                </c:pt>
                <c:pt idx="34">
                  <c:v>#0034</c:v>
                </c:pt>
                <c:pt idx="35">
                  <c:v>#0035</c:v>
                </c:pt>
                <c:pt idx="36">
                  <c:v>#0036</c:v>
                </c:pt>
                <c:pt idx="37">
                  <c:v>#0037</c:v>
                </c:pt>
                <c:pt idx="38">
                  <c:v>#0038</c:v>
                </c:pt>
                <c:pt idx="39">
                  <c:v>#0039</c:v>
                </c:pt>
              </c:strCache>
            </c:strRef>
          </c:cat>
          <c:val>
            <c:numRef>
              <c:f>Inventory!$C$5:$C$44</c:f>
              <c:numCache>
                <c:formatCode>0.00</c:formatCode>
                <c:ptCount val="40"/>
                <c:pt idx="0">
                  <c:v>11</c:v>
                </c:pt>
                <c:pt idx="1">
                  <c:v>22</c:v>
                </c:pt>
                <c:pt idx="2">
                  <c:v>15</c:v>
                </c:pt>
                <c:pt idx="3">
                  <c:v>1</c:v>
                </c:pt>
                <c:pt idx="4">
                  <c:v>12</c:v>
                </c:pt>
                <c:pt idx="5">
                  <c:v>5</c:v>
                </c:pt>
                <c:pt idx="6">
                  <c:v>9</c:v>
                </c:pt>
                <c:pt idx="7">
                  <c:v>30</c:v>
                </c:pt>
                <c:pt idx="8">
                  <c:v>4</c:v>
                </c:pt>
                <c:pt idx="9">
                  <c:v>19</c:v>
                </c:pt>
                <c:pt idx="10">
                  <c:v>11</c:v>
                </c:pt>
                <c:pt idx="11">
                  <c:v>7</c:v>
                </c:pt>
                <c:pt idx="12">
                  <c:v>3</c:v>
                </c:pt>
                <c:pt idx="13">
                  <c:v>10</c:v>
                </c:pt>
                <c:pt idx="14">
                  <c:v>20</c:v>
                </c:pt>
                <c:pt idx="15">
                  <c:v>25</c:v>
                </c:pt>
                <c:pt idx="16">
                  <c:v>5</c:v>
                </c:pt>
                <c:pt idx="17">
                  <c:v>3</c:v>
                </c:pt>
                <c:pt idx="18">
                  <c:v>11</c:v>
                </c:pt>
                <c:pt idx="19">
                  <c:v>7</c:v>
                </c:pt>
                <c:pt idx="20">
                  <c:v>19</c:v>
                </c:pt>
                <c:pt idx="21">
                  <c:v>17</c:v>
                </c:pt>
                <c:pt idx="22">
                  <c:v>28</c:v>
                </c:pt>
                <c:pt idx="23">
                  <c:v>25</c:v>
                </c:pt>
                <c:pt idx="24">
                  <c:v>22</c:v>
                </c:pt>
                <c:pt idx="25">
                  <c:v>14</c:v>
                </c:pt>
                <c:pt idx="26">
                  <c:v>6</c:v>
                </c:pt>
                <c:pt idx="27">
                  <c:v>8</c:v>
                </c:pt>
                <c:pt idx="28">
                  <c:v>8</c:v>
                </c:pt>
                <c:pt idx="29">
                  <c:v>9</c:v>
                </c:pt>
                <c:pt idx="30">
                  <c:v>3</c:v>
                </c:pt>
                <c:pt idx="31">
                  <c:v>6</c:v>
                </c:pt>
                <c:pt idx="32">
                  <c:v>8</c:v>
                </c:pt>
                <c:pt idx="33">
                  <c:v>4</c:v>
                </c:pt>
                <c:pt idx="34">
                  <c:v>30</c:v>
                </c:pt>
                <c:pt idx="35">
                  <c:v>26</c:v>
                </c:pt>
                <c:pt idx="36">
                  <c:v>13</c:v>
                </c:pt>
                <c:pt idx="37">
                  <c:v>27</c:v>
                </c:pt>
                <c:pt idx="38">
                  <c:v>18</c:v>
                </c:pt>
                <c:pt idx="39">
                  <c:v>17</c:v>
                </c:pt>
              </c:numCache>
            </c:numRef>
          </c:val>
          <c:extLst>
            <c:ext xmlns:c16="http://schemas.microsoft.com/office/drawing/2014/chart" uri="{C3380CC4-5D6E-409C-BE32-E72D297353CC}">
              <c16:uniqueId val="{00000000-9D70-4C80-84AE-62206C8AD7AF}"/>
            </c:ext>
          </c:extLst>
        </c:ser>
        <c:dLbls>
          <c:showLegendKey val="0"/>
          <c:showVal val="0"/>
          <c:showCatName val="0"/>
          <c:showSerName val="0"/>
          <c:showPercent val="0"/>
          <c:showBubbleSize val="0"/>
        </c:dLbls>
        <c:gapWidth val="219"/>
        <c:overlap val="-27"/>
        <c:axId val="941764608"/>
        <c:axId val="895358256"/>
      </c:barChart>
      <c:catAx>
        <c:axId val="941764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Product</a:t>
                </a:r>
                <a:r>
                  <a:rPr lang="en-US" baseline="0"/>
                  <a:t> Number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5358256"/>
        <c:crosses val="autoZero"/>
        <c:auto val="1"/>
        <c:lblAlgn val="ctr"/>
        <c:lblOffset val="100"/>
        <c:noMultiLvlLbl val="0"/>
      </c:catAx>
      <c:valAx>
        <c:axId val="895358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764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Palatino Linotype" panose="02040502050505030304" pitchFamily="18" charset="0"/>
              </a:rPr>
              <a:t>Product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Inventory!$A$5:$A$44</c:f>
              <c:strCache>
                <c:ptCount val="40"/>
                <c:pt idx="0">
                  <c:v>#0000</c:v>
                </c:pt>
                <c:pt idx="1">
                  <c:v>#0001</c:v>
                </c:pt>
                <c:pt idx="2">
                  <c:v>#0002</c:v>
                </c:pt>
                <c:pt idx="3">
                  <c:v>#0003</c:v>
                </c:pt>
                <c:pt idx="4">
                  <c:v>#0004</c:v>
                </c:pt>
                <c:pt idx="5">
                  <c:v>#0005</c:v>
                </c:pt>
                <c:pt idx="6">
                  <c:v>#0006</c:v>
                </c:pt>
                <c:pt idx="7">
                  <c:v>#0007</c:v>
                </c:pt>
                <c:pt idx="8">
                  <c:v>#0008</c:v>
                </c:pt>
                <c:pt idx="9">
                  <c:v>#0009</c:v>
                </c:pt>
                <c:pt idx="10">
                  <c:v>#0010</c:v>
                </c:pt>
                <c:pt idx="11">
                  <c:v>#0011</c:v>
                </c:pt>
                <c:pt idx="12">
                  <c:v>#0012</c:v>
                </c:pt>
                <c:pt idx="13">
                  <c:v>#0013</c:v>
                </c:pt>
                <c:pt idx="14">
                  <c:v>#0014</c:v>
                </c:pt>
                <c:pt idx="15">
                  <c:v>#0015</c:v>
                </c:pt>
                <c:pt idx="16">
                  <c:v>#0016</c:v>
                </c:pt>
                <c:pt idx="17">
                  <c:v>#0017</c:v>
                </c:pt>
                <c:pt idx="18">
                  <c:v>#0018</c:v>
                </c:pt>
                <c:pt idx="19">
                  <c:v>#0019</c:v>
                </c:pt>
                <c:pt idx="20">
                  <c:v>#0020</c:v>
                </c:pt>
                <c:pt idx="21">
                  <c:v>#0021</c:v>
                </c:pt>
                <c:pt idx="22">
                  <c:v>#0022</c:v>
                </c:pt>
                <c:pt idx="23">
                  <c:v>#0023</c:v>
                </c:pt>
                <c:pt idx="24">
                  <c:v>#0024</c:v>
                </c:pt>
                <c:pt idx="25">
                  <c:v>#0025</c:v>
                </c:pt>
                <c:pt idx="26">
                  <c:v>#0026</c:v>
                </c:pt>
                <c:pt idx="27">
                  <c:v>#0027</c:v>
                </c:pt>
                <c:pt idx="28">
                  <c:v>#0028</c:v>
                </c:pt>
                <c:pt idx="29">
                  <c:v>#0029</c:v>
                </c:pt>
                <c:pt idx="30">
                  <c:v>#0030</c:v>
                </c:pt>
                <c:pt idx="31">
                  <c:v>#0031</c:v>
                </c:pt>
                <c:pt idx="32">
                  <c:v>#0032</c:v>
                </c:pt>
                <c:pt idx="33">
                  <c:v>#0033</c:v>
                </c:pt>
                <c:pt idx="34">
                  <c:v>#0034</c:v>
                </c:pt>
                <c:pt idx="35">
                  <c:v>#0035</c:v>
                </c:pt>
                <c:pt idx="36">
                  <c:v>#0036</c:v>
                </c:pt>
                <c:pt idx="37">
                  <c:v>#0037</c:v>
                </c:pt>
                <c:pt idx="38">
                  <c:v>#0038</c:v>
                </c:pt>
                <c:pt idx="39">
                  <c:v>#0039</c:v>
                </c:pt>
              </c:strCache>
            </c:strRef>
          </c:cat>
          <c:val>
            <c:numRef>
              <c:f>Inventory!$B$5:$B$44</c:f>
              <c:numCache>
                <c:formatCode>_("$"* #,##0.00_);_("$"* \(#,##0.00\);_("$"* "-"??_);_(@_)</c:formatCode>
                <c:ptCount val="40"/>
                <c:pt idx="0">
                  <c:v>7.99</c:v>
                </c:pt>
                <c:pt idx="1">
                  <c:v>7.99</c:v>
                </c:pt>
                <c:pt idx="2">
                  <c:v>7.99</c:v>
                </c:pt>
                <c:pt idx="3">
                  <c:v>7.99</c:v>
                </c:pt>
                <c:pt idx="4">
                  <c:v>7.99</c:v>
                </c:pt>
                <c:pt idx="5">
                  <c:v>7.99</c:v>
                </c:pt>
                <c:pt idx="6">
                  <c:v>7.99</c:v>
                </c:pt>
                <c:pt idx="7">
                  <c:v>7.99</c:v>
                </c:pt>
                <c:pt idx="8">
                  <c:v>7.99</c:v>
                </c:pt>
                <c:pt idx="9">
                  <c:v>7.99</c:v>
                </c:pt>
                <c:pt idx="10">
                  <c:v>8.99</c:v>
                </c:pt>
                <c:pt idx="11">
                  <c:v>8.99</c:v>
                </c:pt>
                <c:pt idx="12">
                  <c:v>8.99</c:v>
                </c:pt>
                <c:pt idx="13">
                  <c:v>8.99</c:v>
                </c:pt>
                <c:pt idx="14">
                  <c:v>8.99</c:v>
                </c:pt>
                <c:pt idx="15">
                  <c:v>8.99</c:v>
                </c:pt>
                <c:pt idx="16">
                  <c:v>8.99</c:v>
                </c:pt>
                <c:pt idx="17">
                  <c:v>8.99</c:v>
                </c:pt>
                <c:pt idx="18">
                  <c:v>8.99</c:v>
                </c:pt>
                <c:pt idx="19">
                  <c:v>8.99</c:v>
                </c:pt>
                <c:pt idx="20">
                  <c:v>7.99</c:v>
                </c:pt>
                <c:pt idx="21">
                  <c:v>7.99</c:v>
                </c:pt>
                <c:pt idx="22">
                  <c:v>7.99</c:v>
                </c:pt>
                <c:pt idx="23">
                  <c:v>7.99</c:v>
                </c:pt>
                <c:pt idx="24">
                  <c:v>7.99</c:v>
                </c:pt>
                <c:pt idx="25">
                  <c:v>7.99</c:v>
                </c:pt>
                <c:pt idx="26">
                  <c:v>7.99</c:v>
                </c:pt>
                <c:pt idx="27">
                  <c:v>7.99</c:v>
                </c:pt>
                <c:pt idx="28">
                  <c:v>7.99</c:v>
                </c:pt>
                <c:pt idx="29">
                  <c:v>7.99</c:v>
                </c:pt>
                <c:pt idx="30">
                  <c:v>8.99</c:v>
                </c:pt>
                <c:pt idx="31">
                  <c:v>8.99</c:v>
                </c:pt>
                <c:pt idx="32">
                  <c:v>8.99</c:v>
                </c:pt>
                <c:pt idx="33">
                  <c:v>8.99</c:v>
                </c:pt>
                <c:pt idx="34">
                  <c:v>8.99</c:v>
                </c:pt>
                <c:pt idx="35">
                  <c:v>8.99</c:v>
                </c:pt>
                <c:pt idx="36">
                  <c:v>8.99</c:v>
                </c:pt>
                <c:pt idx="37">
                  <c:v>8.99</c:v>
                </c:pt>
                <c:pt idx="38">
                  <c:v>8.99</c:v>
                </c:pt>
                <c:pt idx="39">
                  <c:v>8.99</c:v>
                </c:pt>
              </c:numCache>
            </c:numRef>
          </c:val>
          <c:extLst>
            <c:ext xmlns:c16="http://schemas.microsoft.com/office/drawing/2014/chart" uri="{C3380CC4-5D6E-409C-BE32-E72D297353CC}">
              <c16:uniqueId val="{00000000-A4ED-481C-AEB4-546CFAA1AE1D}"/>
            </c:ext>
          </c:extLst>
        </c:ser>
        <c:dLbls>
          <c:showLegendKey val="0"/>
          <c:showVal val="0"/>
          <c:showCatName val="0"/>
          <c:showSerName val="0"/>
          <c:showPercent val="0"/>
          <c:showBubbleSize val="0"/>
        </c:dLbls>
        <c:gapWidth val="219"/>
        <c:overlap val="-27"/>
        <c:axId val="941071200"/>
        <c:axId val="263629056"/>
      </c:barChart>
      <c:catAx>
        <c:axId val="9410712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Product 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3629056"/>
        <c:crosses val="autoZero"/>
        <c:auto val="1"/>
        <c:lblAlgn val="ctr"/>
        <c:lblOffset val="100"/>
        <c:noMultiLvlLbl val="0"/>
      </c:catAx>
      <c:valAx>
        <c:axId val="2636290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1071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3"/>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hyperlink" Target="https://twitter.com/" TargetMode="External"/><Relationship Id="rId7" Type="http://schemas.openxmlformats.org/officeDocument/2006/relationships/hyperlink" Target="https://www.facebook.com/" TargetMode="External"/><Relationship Id="rId2" Type="http://schemas.openxmlformats.org/officeDocument/2006/relationships/image" Target="../media/image3.jpg"/><Relationship Id="rId1" Type="http://schemas.openxmlformats.org/officeDocument/2006/relationships/image" Target="../media/image2.jpg"/><Relationship Id="rId6" Type="http://schemas.openxmlformats.org/officeDocument/2006/relationships/image" Target="../media/image5.png"/><Relationship Id="rId5" Type="http://schemas.openxmlformats.org/officeDocument/2006/relationships/hyperlink" Target="https://www.instagram.com/"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8.png"/><Relationship Id="rId4" Type="http://schemas.openxmlformats.org/officeDocument/2006/relationships/image" Target="../media/image11.pn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1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1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1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11.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4" Type="http://schemas.openxmlformats.org/officeDocument/2006/relationships/image" Target="../media/image1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oneCellAnchor>
    <xdr:from>
      <xdr:col>0</xdr:col>
      <xdr:colOff>19050</xdr:colOff>
      <xdr:row>0</xdr:row>
      <xdr:rowOff>0</xdr:rowOff>
    </xdr:from>
    <xdr:ext cx="5210176" cy="1800224"/>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0949" t="-529" r="15741" b="529"/>
        <a:stretch/>
      </xdr:blipFill>
      <xdr:spPr>
        <a:xfrm>
          <a:off x="19050" y="0"/>
          <a:ext cx="5210176" cy="1800224"/>
        </a:xfrm>
        <a:prstGeom prst="rect">
          <a:avLst/>
        </a:prstGeom>
      </xdr:spPr>
    </xdr:pic>
    <xdr:clientData/>
  </xdr:oneCellAnchor>
  <xdr:oneCellAnchor>
    <xdr:from>
      <xdr:col>0</xdr:col>
      <xdr:colOff>5172075</xdr:colOff>
      <xdr:row>0</xdr:row>
      <xdr:rowOff>133351</xdr:rowOff>
    </xdr:from>
    <xdr:ext cx="4651876" cy="971550"/>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63701"/>
        <a:stretch/>
      </xdr:blipFill>
      <xdr:spPr>
        <a:xfrm>
          <a:off x="5172075" y="133351"/>
          <a:ext cx="4651876" cy="971550"/>
        </a:xfrm>
        <a:prstGeom prst="rect">
          <a:avLst/>
        </a:prstGeom>
      </xdr:spPr>
    </xdr:pic>
    <xdr:clientData/>
  </xdr:oneCellAnchor>
  <xdr:twoCellAnchor editAs="oneCell">
    <xdr:from>
      <xdr:col>0</xdr:col>
      <xdr:colOff>0</xdr:colOff>
      <xdr:row>22</xdr:row>
      <xdr:rowOff>177800</xdr:rowOff>
    </xdr:from>
    <xdr:to>
      <xdr:col>0</xdr:col>
      <xdr:colOff>3276600</xdr:colOff>
      <xdr:row>24</xdr:row>
      <xdr:rowOff>139700</xdr:rowOff>
    </xdr:to>
    <xdr:sp macro="" textlink="">
      <xdr:nvSpPr>
        <xdr:cNvPr id="2049" name="CommandButton3" hidden="1">
          <a:extLst>
            <a:ext uri="{63B3BB69-23CF-44E3-9099-C40C66FF867C}">
              <a14:compatExt xmlns:a14="http://schemas.microsoft.com/office/drawing/2010/main"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6527800</xdr:colOff>
      <xdr:row>20</xdr:row>
      <xdr:rowOff>76200</xdr:rowOff>
    </xdr:from>
    <xdr:to>
      <xdr:col>0</xdr:col>
      <xdr:colOff>9804400</xdr:colOff>
      <xdr:row>22</xdr:row>
      <xdr:rowOff>15875</xdr:rowOff>
    </xdr:to>
    <xdr:sp macro="" textlink="">
      <xdr:nvSpPr>
        <xdr:cNvPr id="2050" name="CommandButton1" hidden="1">
          <a:extLst>
            <a:ext uri="{63B3BB69-23CF-44E3-9099-C40C66FF867C}">
              <a14:compatExt xmlns:a14="http://schemas.microsoft.com/office/drawing/2010/main"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12700</xdr:colOff>
      <xdr:row>20</xdr:row>
      <xdr:rowOff>76200</xdr:rowOff>
    </xdr:from>
    <xdr:to>
      <xdr:col>0</xdr:col>
      <xdr:colOff>3289300</xdr:colOff>
      <xdr:row>22</xdr:row>
      <xdr:rowOff>53975</xdr:rowOff>
    </xdr:to>
    <xdr:sp macro="" textlink="">
      <xdr:nvSpPr>
        <xdr:cNvPr id="2051" name="CommandButton2" hidden="1">
          <a:extLst>
            <a:ext uri="{63B3BB69-23CF-44E3-9099-C40C66FF867C}">
              <a14:compatExt xmlns:a14="http://schemas.microsoft.com/office/drawing/2010/main"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3276600</xdr:colOff>
      <xdr:row>25</xdr:row>
      <xdr:rowOff>63500</xdr:rowOff>
    </xdr:from>
    <xdr:to>
      <xdr:col>0</xdr:col>
      <xdr:colOff>6553200</xdr:colOff>
      <xdr:row>27</xdr:row>
      <xdr:rowOff>25400</xdr:rowOff>
    </xdr:to>
    <xdr:sp macro="" textlink="">
      <xdr:nvSpPr>
        <xdr:cNvPr id="2052" name="CommandButton4" hidden="1">
          <a:extLst>
            <a:ext uri="{63B3BB69-23CF-44E3-9099-C40C66FF867C}">
              <a14:compatExt xmlns:a14="http://schemas.microsoft.com/office/drawing/2010/main"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6553200</xdr:colOff>
      <xdr:row>22</xdr:row>
      <xdr:rowOff>165100</xdr:rowOff>
    </xdr:from>
    <xdr:to>
      <xdr:col>1</xdr:col>
      <xdr:colOff>0</xdr:colOff>
      <xdr:row>24</xdr:row>
      <xdr:rowOff>127000</xdr:rowOff>
    </xdr:to>
    <xdr:sp macro="" textlink="">
      <xdr:nvSpPr>
        <xdr:cNvPr id="2053" name="CommandButton5" hidden="1">
          <a:extLst>
            <a:ext uri="{63B3BB69-23CF-44E3-9099-C40C66FF867C}">
              <a14:compatExt xmlns:a14="http://schemas.microsoft.com/office/drawing/2010/main"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3276600</xdr:colOff>
      <xdr:row>22</xdr:row>
      <xdr:rowOff>177800</xdr:rowOff>
    </xdr:from>
    <xdr:to>
      <xdr:col>0</xdr:col>
      <xdr:colOff>6553200</xdr:colOff>
      <xdr:row>24</xdr:row>
      <xdr:rowOff>127000</xdr:rowOff>
    </xdr:to>
    <xdr:sp macro="" textlink="">
      <xdr:nvSpPr>
        <xdr:cNvPr id="2054" name="CommandButton6" hidden="1">
          <a:extLst>
            <a:ext uri="{63B3BB69-23CF-44E3-9099-C40C66FF867C}">
              <a14:compatExt xmlns:a14="http://schemas.microsoft.com/office/drawing/2010/main"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3263900</xdr:colOff>
      <xdr:row>20</xdr:row>
      <xdr:rowOff>76200</xdr:rowOff>
    </xdr:from>
    <xdr:to>
      <xdr:col>0</xdr:col>
      <xdr:colOff>6540500</xdr:colOff>
      <xdr:row>22</xdr:row>
      <xdr:rowOff>28575</xdr:rowOff>
    </xdr:to>
    <xdr:sp macro="" textlink="">
      <xdr:nvSpPr>
        <xdr:cNvPr id="2058" name="CommandButton7" hidden="1">
          <a:extLst>
            <a:ext uri="{63B3BB69-23CF-44E3-9099-C40C66FF867C}">
              <a14:compatExt xmlns:a14="http://schemas.microsoft.com/office/drawing/2010/main"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0</xdr:col>
          <xdr:colOff>1304925</xdr:colOff>
          <xdr:row>21</xdr:row>
          <xdr:rowOff>161925</xdr:rowOff>
        </xdr:from>
        <xdr:to>
          <xdr:col>0</xdr:col>
          <xdr:colOff>3419475</xdr:colOff>
          <xdr:row>23</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Customers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3419475</xdr:colOff>
          <xdr:row>21</xdr:row>
          <xdr:rowOff>161925</xdr:rowOff>
        </xdr:from>
        <xdr:to>
          <xdr:col>0</xdr:col>
          <xdr:colOff>5534025</xdr:colOff>
          <xdr:row>23</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5553075</xdr:colOff>
          <xdr:row>21</xdr:row>
          <xdr:rowOff>161925</xdr:rowOff>
        </xdr:from>
        <xdr:to>
          <xdr:col>0</xdr:col>
          <xdr:colOff>7667625</xdr:colOff>
          <xdr:row>23</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1304925</xdr:colOff>
          <xdr:row>24</xdr:row>
          <xdr:rowOff>161925</xdr:rowOff>
        </xdr:from>
        <xdr:to>
          <xdr:col>0</xdr:col>
          <xdr:colOff>3419475</xdr:colOff>
          <xdr:row>27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3429000</xdr:colOff>
          <xdr:row>24</xdr:row>
          <xdr:rowOff>161925</xdr:rowOff>
        </xdr:from>
        <xdr:to>
          <xdr:col>0</xdr:col>
          <xdr:colOff>5543550</xdr:colOff>
          <xdr:row>27</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Employees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5553075</xdr:colOff>
          <xdr:row>24</xdr:row>
          <xdr:rowOff>161925</xdr:rowOff>
        </xdr:from>
        <xdr:to>
          <xdr:col>0</xdr:col>
          <xdr:colOff>7667625</xdr:colOff>
          <xdr:row>27</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Suppliers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3438525</xdr:colOff>
          <xdr:row>27</xdr:row>
          <xdr:rowOff>142875</xdr:rowOff>
        </xdr:from>
        <xdr:to>
          <xdr:col>0</xdr:col>
          <xdr:colOff>5553075</xdr:colOff>
          <xdr:row>29</xdr:row>
          <xdr:rowOff>180975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2867025</xdr:colOff>
          <xdr:row>30</xdr:row>
          <xdr:rowOff>161925</xdr:rowOff>
        </xdr:from>
        <xdr:to>
          <xdr:col>0</xdr:col>
          <xdr:colOff>4333875</xdr:colOff>
          <xdr:row>32</xdr:row>
          <xdr:rowOff>28575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Export as Single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4495800</xdr:colOff>
          <xdr:row>30</xdr:row>
          <xdr:rowOff>142875</xdr:rowOff>
        </xdr:from>
        <xdr:to>
          <xdr:col>0</xdr:col>
          <xdr:colOff>6238875</xdr:colOff>
          <xdr:row>32</xdr:row>
          <xdr:rowOff>19050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Export as Multiple PDFs</a:t>
              </a:r>
            </a:p>
          </xdr:txBody>
        </xdr:sp>
        <xdr:clientData fPrintsWithSheet="0"/>
      </xdr:twoCellAnchor>
    </mc:Choice>
    <mc:Fallback/>
  </mc:AlternateContent>
  <xdr:twoCellAnchor editAs="oneCell">
    <xdr:from>
      <xdr:col>0</xdr:col>
      <xdr:colOff>6877051</xdr:colOff>
      <xdr:row>5</xdr:row>
      <xdr:rowOff>38100</xdr:rowOff>
    </xdr:from>
    <xdr:to>
      <xdr:col>0</xdr:col>
      <xdr:colOff>7467601</xdr:colOff>
      <xdr:row>8</xdr:row>
      <xdr:rowOff>57150</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877051" y="990600"/>
          <a:ext cx="590550" cy="590550"/>
        </a:xfrm>
        <a:prstGeom prst="rect">
          <a:avLst/>
        </a:prstGeom>
      </xdr:spPr>
    </xdr:pic>
    <xdr:clientData/>
  </xdr:twoCellAnchor>
  <xdr:twoCellAnchor editAs="oneCell">
    <xdr:from>
      <xdr:col>0</xdr:col>
      <xdr:colOff>6124575</xdr:colOff>
      <xdr:row>5</xdr:row>
      <xdr:rowOff>47625</xdr:rowOff>
    </xdr:from>
    <xdr:to>
      <xdr:col>0</xdr:col>
      <xdr:colOff>6715864</xdr:colOff>
      <xdr:row>8</xdr:row>
      <xdr:rowOff>67414</xdr:rowOff>
    </xdr:to>
    <xdr:pic>
      <xdr:nvPicPr>
        <xdr:cNvPr id="7" name="Picture 6">
          <a:hlinkClick xmlns:r="http://schemas.openxmlformats.org/officeDocument/2006/relationships" r:id="rId5"/>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124575" y="1000125"/>
          <a:ext cx="591289" cy="591289"/>
        </a:xfrm>
        <a:prstGeom prst="rect">
          <a:avLst/>
        </a:prstGeom>
      </xdr:spPr>
    </xdr:pic>
    <xdr:clientData/>
  </xdr:twoCellAnchor>
  <xdr:twoCellAnchor editAs="oneCell">
    <xdr:from>
      <xdr:col>0</xdr:col>
      <xdr:colOff>5433976</xdr:colOff>
      <xdr:row>5</xdr:row>
      <xdr:rowOff>47625</xdr:rowOff>
    </xdr:from>
    <xdr:to>
      <xdr:col>0</xdr:col>
      <xdr:colOff>6005476</xdr:colOff>
      <xdr:row>8</xdr:row>
      <xdr:rowOff>47625</xdr:rowOff>
    </xdr:to>
    <xdr:pic>
      <xdr:nvPicPr>
        <xdr:cNvPr id="9" name="Picture 8">
          <a:hlinkClick xmlns:r="http://schemas.openxmlformats.org/officeDocument/2006/relationships" r:id="rId7"/>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33976" y="1000125"/>
          <a:ext cx="571500" cy="571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6400800</xdr:colOff>
          <xdr:row>30</xdr:row>
          <xdr:rowOff>152400</xdr:rowOff>
        </xdr:from>
        <xdr:to>
          <xdr:col>0</xdr:col>
          <xdr:colOff>7705725</xdr:colOff>
          <xdr:row>32</xdr:row>
          <xdr:rowOff>19050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Protect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1343025</xdr:colOff>
          <xdr:row>30</xdr:row>
          <xdr:rowOff>171450</xdr:rowOff>
        </xdr:from>
        <xdr:to>
          <xdr:col>0</xdr:col>
          <xdr:colOff>2733675</xdr:colOff>
          <xdr:row>32</xdr:row>
          <xdr:rowOff>28575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Unprotect Cells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2</xdr:col>
      <xdr:colOff>424544</xdr:colOff>
      <xdr:row>2</xdr:row>
      <xdr:rowOff>180975</xdr:rowOff>
    </xdr:to>
    <xdr:pic macro="[0]!ThisWorkbook.Homepage_Redirect">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7150"/>
          <a:ext cx="2481944" cy="542925"/>
        </a:xfrm>
        <a:prstGeom prst="rect">
          <a:avLst/>
        </a:prstGeom>
      </xdr:spPr>
    </xdr:pic>
    <xdr:clientData/>
  </xdr:twoCellAnchor>
  <xdr:twoCellAnchor editAs="oneCell">
    <xdr:from>
      <xdr:col>3</xdr:col>
      <xdr:colOff>812800</xdr:colOff>
      <xdr:row>1</xdr:row>
      <xdr:rowOff>38100</xdr:rowOff>
    </xdr:from>
    <xdr:to>
      <xdr:col>3</xdr:col>
      <xdr:colOff>1536700</xdr:colOff>
      <xdr:row>2</xdr:row>
      <xdr:rowOff>127000</xdr:rowOff>
    </xdr:to>
    <xdr:sp macro="" textlink="">
      <xdr:nvSpPr>
        <xdr:cNvPr id="6147" name="CommandButton1" hidden="1">
          <a:extLst>
            <a:ext uri="{63B3BB69-23CF-44E3-9099-C40C66FF867C}">
              <a14:compatExt xmlns:a14="http://schemas.microsoft.com/office/drawing/2010/main"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1524000</xdr:colOff>
      <xdr:row>1</xdr:row>
      <xdr:rowOff>38100</xdr:rowOff>
    </xdr:from>
    <xdr:to>
      <xdr:col>3</xdr:col>
      <xdr:colOff>2146300</xdr:colOff>
      <xdr:row>2</xdr:row>
      <xdr:rowOff>127000</xdr:rowOff>
    </xdr:to>
    <xdr:sp macro="" textlink="">
      <xdr:nvSpPr>
        <xdr:cNvPr id="6149" name="CommandButton2" hidden="1">
          <a:extLst>
            <a:ext uri="{63B3BB69-23CF-44E3-9099-C40C66FF867C}">
              <a14:compatExt xmlns:a14="http://schemas.microsoft.com/office/drawing/2010/main"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1951850</xdr:colOff>
      <xdr:row>0</xdr:row>
      <xdr:rowOff>139700</xdr:rowOff>
    </xdr:from>
    <xdr:to>
      <xdr:col>4</xdr:col>
      <xdr:colOff>2313801</xdr:colOff>
      <xdr:row>2</xdr:row>
      <xdr:rowOff>107582</xdr:rowOff>
    </xdr:to>
    <xdr:pic macro="[0]!ZoomOut">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36650" y="139700"/>
          <a:ext cx="361951" cy="361582"/>
        </a:xfrm>
        <a:prstGeom prst="rect">
          <a:avLst/>
        </a:prstGeom>
      </xdr:spPr>
    </xdr:pic>
    <xdr:clientData/>
  </xdr:twoCellAnchor>
  <xdr:twoCellAnchor editAs="oneCell">
    <xdr:from>
      <xdr:col>4</xdr:col>
      <xdr:colOff>1447800</xdr:colOff>
      <xdr:row>0</xdr:row>
      <xdr:rowOff>150000</xdr:rowOff>
    </xdr:from>
    <xdr:to>
      <xdr:col>4</xdr:col>
      <xdr:colOff>1809751</xdr:colOff>
      <xdr:row>2</xdr:row>
      <xdr:rowOff>117882</xdr:rowOff>
    </xdr:to>
    <xdr:pic macro="[0]!ZoomI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832600" y="150000"/>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1533525</xdr:colOff>
          <xdr:row>1</xdr:row>
          <xdr:rowOff>9525</xdr:rowOff>
        </xdr:from>
        <xdr:to>
          <xdr:col>4</xdr:col>
          <xdr:colOff>352425</xdr:colOff>
          <xdr:row>2</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752475</xdr:colOff>
          <xdr:row>1</xdr:row>
          <xdr:rowOff>9525</xdr:rowOff>
        </xdr:from>
        <xdr:to>
          <xdr:col>3</xdr:col>
          <xdr:colOff>1533525</xdr:colOff>
          <xdr:row>2</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Prev</a:t>
              </a:r>
            </a:p>
          </xdr:txBody>
        </xdr:sp>
        <xdr:clientData fPrintsWithSheet="0"/>
      </xdr:twoCellAnchor>
    </mc:Choice>
    <mc:Fallback/>
  </mc:AlternateContent>
  <xdr:twoCellAnchor editAs="oneCell">
    <xdr:from>
      <xdr:col>4</xdr:col>
      <xdr:colOff>673101</xdr:colOff>
      <xdr:row>0</xdr:row>
      <xdr:rowOff>88901</xdr:rowOff>
    </xdr:from>
    <xdr:to>
      <xdr:col>4</xdr:col>
      <xdr:colOff>1143001</xdr:colOff>
      <xdr:row>2</xdr:row>
      <xdr:rowOff>165101</xdr:rowOff>
    </xdr:to>
    <xdr:pic macro="[0]!PrintActiveWorkbook">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57901" y="88901"/>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257175</xdr:colOff>
          <xdr:row>0</xdr:row>
          <xdr:rowOff>123825</xdr:rowOff>
        </xdr:from>
        <xdr:to>
          <xdr:col>8</xdr:col>
          <xdr:colOff>0</xdr:colOff>
          <xdr:row>2</xdr:row>
          <xdr:rowOff>133350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95250</xdr:rowOff>
        </xdr:from>
        <xdr:to>
          <xdr:col>5</xdr:col>
          <xdr:colOff>581025</xdr:colOff>
          <xdr:row>5</xdr:row>
          <xdr:rowOff>123825</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200-0000073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Add to 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581025</xdr:colOff>
          <xdr:row>8</xdr:row>
          <xdr:rowOff>171450</xdr:rowOff>
        </xdr:from>
        <xdr:to>
          <xdr:col>6</xdr:col>
          <xdr:colOff>0</xdr:colOff>
          <xdr:row>10</xdr:row>
          <xdr:rowOff>200025</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200-0000083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Create New Invoice</a:t>
              </a:r>
            </a:p>
          </xdr:txBody>
        </xdr:sp>
        <xdr:clientData fPrintsWithSheet="0"/>
      </xdr:twoCellAnchor>
    </mc:Choice>
    <mc:Fallback/>
  </mc:AlternateContent>
  <xdr:twoCellAnchor editAs="oneCell">
    <xdr:from>
      <xdr:col>0</xdr:col>
      <xdr:colOff>0</xdr:colOff>
      <xdr:row>0</xdr:row>
      <xdr:rowOff>38100</xdr:rowOff>
    </xdr:from>
    <xdr:to>
      <xdr:col>1</xdr:col>
      <xdr:colOff>1027794</xdr:colOff>
      <xdr:row>3</xdr:row>
      <xdr:rowOff>3175</xdr:rowOff>
    </xdr:to>
    <xdr:pic macro="[0]!ThisWorkbook.Homepage_Redirect">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2583544" cy="51752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457200</xdr:colOff>
          <xdr:row>0</xdr:row>
          <xdr:rowOff>161925</xdr:rowOff>
        </xdr:from>
        <xdr:to>
          <xdr:col>7</xdr:col>
          <xdr:colOff>9525</xdr:colOff>
          <xdr:row>2</xdr:row>
          <xdr:rowOff>66675</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200-0000093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276225</xdr:colOff>
          <xdr:row>0</xdr:row>
          <xdr:rowOff>161925</xdr:rowOff>
        </xdr:from>
        <xdr:to>
          <xdr:col>5</xdr:col>
          <xdr:colOff>447675</xdr:colOff>
          <xdr:row>2</xdr:row>
          <xdr:rowOff>66675</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Prev</a:t>
              </a:r>
            </a:p>
          </xdr:txBody>
        </xdr:sp>
        <xdr:clientData fPrintsWithSheet="0"/>
      </xdr:twoCellAnchor>
    </mc:Choice>
    <mc:Fallback/>
  </mc:AlternateContent>
  <xdr:twoCellAnchor editAs="oneCell">
    <xdr:from>
      <xdr:col>9</xdr:col>
      <xdr:colOff>319900</xdr:colOff>
      <xdr:row>0</xdr:row>
      <xdr:rowOff>82550</xdr:rowOff>
    </xdr:from>
    <xdr:to>
      <xdr:col>10</xdr:col>
      <xdr:colOff>72251</xdr:colOff>
      <xdr:row>2</xdr:row>
      <xdr:rowOff>88532</xdr:rowOff>
    </xdr:to>
    <xdr:pic macro="[0]!ZoomOut">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14500" y="82550"/>
          <a:ext cx="368301" cy="374282"/>
        </a:xfrm>
        <a:prstGeom prst="rect">
          <a:avLst/>
        </a:prstGeom>
      </xdr:spPr>
    </xdr:pic>
    <xdr:clientData/>
  </xdr:twoCellAnchor>
  <xdr:twoCellAnchor editAs="oneCell">
    <xdr:from>
      <xdr:col>8</xdr:col>
      <xdr:colOff>425450</xdr:colOff>
      <xdr:row>0</xdr:row>
      <xdr:rowOff>92850</xdr:rowOff>
    </xdr:from>
    <xdr:to>
      <xdr:col>9</xdr:col>
      <xdr:colOff>177801</xdr:colOff>
      <xdr:row>2</xdr:row>
      <xdr:rowOff>98832</xdr:rowOff>
    </xdr:to>
    <xdr:pic macro="[0]!ZoomIn">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04100" y="92850"/>
          <a:ext cx="368301" cy="374282"/>
        </a:xfrm>
        <a:prstGeom prst="rect">
          <a:avLst/>
        </a:prstGeom>
      </xdr:spPr>
    </xdr:pic>
    <xdr:clientData/>
  </xdr:twoCellAnchor>
  <xdr:twoCellAnchor editAs="oneCell">
    <xdr:from>
      <xdr:col>7</xdr:col>
      <xdr:colOff>317500</xdr:colOff>
      <xdr:row>0</xdr:row>
      <xdr:rowOff>63500</xdr:rowOff>
    </xdr:from>
    <xdr:to>
      <xdr:col>8</xdr:col>
      <xdr:colOff>171450</xdr:colOff>
      <xdr:row>2</xdr:row>
      <xdr:rowOff>165100</xdr:rowOff>
    </xdr:to>
    <xdr:pic macro="[0]!PrintActiveWorkbook">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80200" y="63500"/>
          <a:ext cx="469900" cy="469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0</xdr:col>
      <xdr:colOff>2443844</xdr:colOff>
      <xdr:row>2</xdr:row>
      <xdr:rowOff>142875</xdr:rowOff>
    </xdr:to>
    <xdr:pic macro="[0]!ThisWorkbook.Homepage_Redirect">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9050"/>
          <a:ext cx="2481944" cy="542925"/>
        </a:xfrm>
        <a:prstGeom prst="rect">
          <a:avLst/>
        </a:prstGeom>
      </xdr:spPr>
    </xdr:pic>
    <xdr:clientData/>
  </xdr:twoCellAnchor>
  <xdr:twoCellAnchor editAs="oneCell">
    <xdr:from>
      <xdr:col>2</xdr:col>
      <xdr:colOff>723900</xdr:colOff>
      <xdr:row>1</xdr:row>
      <xdr:rowOff>38100</xdr:rowOff>
    </xdr:from>
    <xdr:to>
      <xdr:col>3</xdr:col>
      <xdr:colOff>482600</xdr:colOff>
      <xdr:row>2</xdr:row>
      <xdr:rowOff>127000</xdr:rowOff>
    </xdr:to>
    <xdr:sp macro="" textlink="">
      <xdr:nvSpPr>
        <xdr:cNvPr id="5121" name="CommandButton1" hidden="1">
          <a:extLst>
            <a:ext uri="{63B3BB69-23CF-44E3-9099-C40C66FF867C}">
              <a14:compatExt xmlns:a14="http://schemas.microsoft.com/office/drawing/2010/main"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508000</xdr:colOff>
      <xdr:row>1</xdr:row>
      <xdr:rowOff>38100</xdr:rowOff>
    </xdr:from>
    <xdr:to>
      <xdr:col>4</xdr:col>
      <xdr:colOff>571500</xdr:colOff>
      <xdr:row>2</xdr:row>
      <xdr:rowOff>127000</xdr:rowOff>
    </xdr:to>
    <xdr:sp macro="" textlink="">
      <xdr:nvSpPr>
        <xdr:cNvPr id="5122" name="CommandButton2" hidden="1">
          <a:extLst>
            <a:ext uri="{63B3BB69-23CF-44E3-9099-C40C66FF867C}">
              <a14:compatExt xmlns:a14="http://schemas.microsoft.com/office/drawing/2010/main"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338950</xdr:colOff>
      <xdr:row>0</xdr:row>
      <xdr:rowOff>133350</xdr:rowOff>
    </xdr:from>
    <xdr:to>
      <xdr:col>7</xdr:col>
      <xdr:colOff>675501</xdr:colOff>
      <xdr:row>2</xdr:row>
      <xdr:rowOff>88532</xdr:rowOff>
    </xdr:to>
    <xdr:pic macro="[0]!ZoomOut">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70000" y="133350"/>
          <a:ext cx="361951" cy="361582"/>
        </a:xfrm>
        <a:prstGeom prst="rect">
          <a:avLst/>
        </a:prstGeom>
      </xdr:spPr>
    </xdr:pic>
    <xdr:clientData/>
  </xdr:twoCellAnchor>
  <xdr:twoCellAnchor editAs="oneCell">
    <xdr:from>
      <xdr:col>6</xdr:col>
      <xdr:colOff>444500</xdr:colOff>
      <xdr:row>0</xdr:row>
      <xdr:rowOff>143650</xdr:rowOff>
    </xdr:from>
    <xdr:to>
      <xdr:col>6</xdr:col>
      <xdr:colOff>787401</xdr:colOff>
      <xdr:row>2</xdr:row>
      <xdr:rowOff>98832</xdr:rowOff>
    </xdr:to>
    <xdr:pic macro="[0]!ZoomIn">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59600" y="143650"/>
          <a:ext cx="36830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447675</xdr:colOff>
          <xdr:row>0</xdr:row>
          <xdr:rowOff>180975</xdr:rowOff>
        </xdr:from>
        <xdr:to>
          <xdr:col>5</xdr:col>
          <xdr:colOff>19050</xdr:colOff>
          <xdr:row>2</xdr:row>
          <xdr:rowOff>47625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657225</xdr:colOff>
          <xdr:row>0</xdr:row>
          <xdr:rowOff>180975</xdr:rowOff>
        </xdr:from>
        <xdr:to>
          <xdr:col>3</xdr:col>
          <xdr:colOff>428625</xdr:colOff>
          <xdr:row>2</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Prev</a:t>
              </a:r>
            </a:p>
          </xdr:txBody>
        </xdr:sp>
        <xdr:clientData fPrintsWithSheet="0"/>
      </xdr:twoCellAnchor>
    </mc:Choice>
    <mc:Fallback/>
  </mc:AlternateContent>
  <xdr:twoCellAnchor editAs="oneCell">
    <xdr:from>
      <xdr:col>5</xdr:col>
      <xdr:colOff>317500</xdr:colOff>
      <xdr:row>0</xdr:row>
      <xdr:rowOff>101600</xdr:rowOff>
    </xdr:from>
    <xdr:to>
      <xdr:col>6</xdr:col>
      <xdr:colOff>171450</xdr:colOff>
      <xdr:row>2</xdr:row>
      <xdr:rowOff>165100</xdr:rowOff>
    </xdr:to>
    <xdr:pic macro="[0]!PrintActiveWorkboo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216650" y="101600"/>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285750</xdr:colOff>
          <xdr:row>0</xdr:row>
          <xdr:rowOff>133350</xdr:rowOff>
        </xdr:from>
        <xdr:to>
          <xdr:col>11</xdr:col>
          <xdr:colOff>381000</xdr:colOff>
          <xdr:row>2</xdr:row>
          <xdr:rowOff>123825</xdr:rowOff>
        </xdr:to>
        <xdr:sp macro="" textlink="">
          <xdr:nvSpPr>
            <xdr:cNvPr id="13315" name="CommandButton1"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47625</xdr:rowOff>
    </xdr:from>
    <xdr:to>
      <xdr:col>2</xdr:col>
      <xdr:colOff>824594</xdr:colOff>
      <xdr:row>2</xdr:row>
      <xdr:rowOff>171450</xdr:rowOff>
    </xdr:to>
    <xdr:pic macro="[0]!ThisWorkbook.Homepage_Redirect">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7625"/>
          <a:ext cx="2481944" cy="542925"/>
        </a:xfrm>
        <a:prstGeom prst="rect">
          <a:avLst/>
        </a:prstGeom>
      </xdr:spPr>
    </xdr:pic>
    <xdr:clientData/>
  </xdr:twoCellAnchor>
  <xdr:twoCellAnchor editAs="oneCell">
    <xdr:from>
      <xdr:col>5</xdr:col>
      <xdr:colOff>546100</xdr:colOff>
      <xdr:row>10</xdr:row>
      <xdr:rowOff>76200</xdr:rowOff>
    </xdr:from>
    <xdr:to>
      <xdr:col>10</xdr:col>
      <xdr:colOff>12700</xdr:colOff>
      <xdr:row>14</xdr:row>
      <xdr:rowOff>76200</xdr:rowOff>
    </xdr:to>
    <xdr:sp macro="" textlink="">
      <xdr:nvSpPr>
        <xdr:cNvPr id="4099" name="CommandButton3" hidden="1">
          <a:extLst>
            <a:ext uri="{63B3BB69-23CF-44E3-9099-C40C66FF867C}">
              <a14:compatExt xmlns:a14="http://schemas.microsoft.com/office/drawing/2010/main"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7</xdr:col>
          <xdr:colOff>161925</xdr:colOff>
          <xdr:row>1</xdr:row>
          <xdr:rowOff>47625</xdr:rowOff>
        </xdr:from>
        <xdr:to>
          <xdr:col>8</xdr:col>
          <xdr:colOff>333375</xdr:colOff>
          <xdr:row>2</xdr:row>
          <xdr:rowOff>123825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47625</xdr:rowOff>
        </xdr:from>
        <xdr:to>
          <xdr:col>7</xdr:col>
          <xdr:colOff>161925</xdr:colOff>
          <xdr:row>2</xdr:row>
          <xdr:rowOff>123825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Prev</a:t>
              </a:r>
            </a:p>
          </xdr:txBody>
        </xdr:sp>
        <xdr:clientData fPrintsWithSheet="0"/>
      </xdr:twoCellAnchor>
    </mc:Choice>
    <mc:Fallback/>
  </mc:AlternateContent>
  <xdr:twoCellAnchor editAs="oneCell">
    <xdr:from>
      <xdr:col>10</xdr:col>
      <xdr:colOff>542150</xdr:colOff>
      <xdr:row>0</xdr:row>
      <xdr:rowOff>133350</xdr:rowOff>
    </xdr:from>
    <xdr:to>
      <xdr:col>11</xdr:col>
      <xdr:colOff>288151</xdr:colOff>
      <xdr:row>2</xdr:row>
      <xdr:rowOff>101232</xdr:rowOff>
    </xdr:to>
    <xdr:pic macro="[0]!ZoomOut">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5100" y="133350"/>
          <a:ext cx="361951" cy="361582"/>
        </a:xfrm>
        <a:prstGeom prst="rect">
          <a:avLst/>
        </a:prstGeom>
      </xdr:spPr>
    </xdr:pic>
    <xdr:clientData/>
  </xdr:twoCellAnchor>
  <xdr:twoCellAnchor editAs="oneCell">
    <xdr:from>
      <xdr:col>10</xdr:col>
      <xdr:colOff>38100</xdr:colOff>
      <xdr:row>0</xdr:row>
      <xdr:rowOff>143650</xdr:rowOff>
    </xdr:from>
    <xdr:to>
      <xdr:col>10</xdr:col>
      <xdr:colOff>400051</xdr:colOff>
      <xdr:row>2</xdr:row>
      <xdr:rowOff>111532</xdr:rowOff>
    </xdr:to>
    <xdr:pic macro="[0]!ZoomIn">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131050" y="143650"/>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428625</xdr:colOff>
          <xdr:row>4</xdr:row>
          <xdr:rowOff>28575</xdr:rowOff>
        </xdr:from>
        <xdr:to>
          <xdr:col>6</xdr:col>
          <xdr:colOff>114300</xdr:colOff>
          <xdr:row>6</xdr:row>
          <xdr:rowOff>76200</xdr:rowOff>
        </xdr:to>
        <xdr:sp macro="" textlink="">
          <xdr:nvSpPr>
            <xdr:cNvPr id="4103" name="CommandButton1"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609600</xdr:colOff>
      <xdr:row>0</xdr:row>
      <xdr:rowOff>114300</xdr:rowOff>
    </xdr:from>
    <xdr:to>
      <xdr:col>9</xdr:col>
      <xdr:colOff>463550</xdr:colOff>
      <xdr:row>2</xdr:row>
      <xdr:rowOff>190500</xdr:rowOff>
    </xdr:to>
    <xdr:pic macro="[0]!PrintActiveWorkbook">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70650" y="114300"/>
          <a:ext cx="469900" cy="469900"/>
        </a:xfrm>
        <a:prstGeom prst="rect">
          <a:avLst/>
        </a:prstGeom>
      </xdr:spPr>
    </xdr:pic>
    <xdr:clientData/>
  </xdr:twoCellAnchor>
  <xdr:twoCellAnchor>
    <xdr:from>
      <xdr:col>3</xdr:col>
      <xdr:colOff>590549</xdr:colOff>
      <xdr:row>7</xdr:row>
      <xdr:rowOff>4761</xdr:rowOff>
    </xdr:from>
    <xdr:to>
      <xdr:col>16</xdr:col>
      <xdr:colOff>0</xdr:colOff>
      <xdr:row>19</xdr:row>
      <xdr:rowOff>200024</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590549</xdr:colOff>
      <xdr:row>21</xdr:row>
      <xdr:rowOff>4761</xdr:rowOff>
    </xdr:from>
    <xdr:to>
      <xdr:col>15</xdr:col>
      <xdr:colOff>581024</xdr:colOff>
      <xdr:row>35</xdr:row>
      <xdr:rowOff>200025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12700</xdr:colOff>
      <xdr:row>0</xdr:row>
      <xdr:rowOff>177800</xdr:rowOff>
    </xdr:from>
    <xdr:to>
      <xdr:col>10</xdr:col>
      <xdr:colOff>12700</xdr:colOff>
      <xdr:row>2</xdr:row>
      <xdr:rowOff>101600</xdr:rowOff>
    </xdr:to>
    <xdr:sp macro="" textlink="">
      <xdr:nvSpPr>
        <xdr:cNvPr id="1026" name="CommandButton1" hidden="1">
          <a:extLst>
            <a:ext uri="{63B3BB69-23CF-44E3-9099-C40C66FF867C}">
              <a14:compatExt xmlns:a14="http://schemas.microsoft.com/office/drawing/2010/main"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57726</xdr:rowOff>
    </xdr:from>
    <xdr:to>
      <xdr:col>2</xdr:col>
      <xdr:colOff>509596</xdr:colOff>
      <xdr:row>2</xdr:row>
      <xdr:rowOff>177318</xdr:rowOff>
    </xdr:to>
    <xdr:pic macro="[0]!ThisWorkbook.Homepage_Redirect">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7726"/>
          <a:ext cx="2481944" cy="542925"/>
        </a:xfrm>
        <a:prstGeom prst="rect">
          <a:avLst/>
        </a:prstGeom>
      </xdr:spPr>
    </xdr:pic>
    <xdr:clientData/>
  </xdr:twoCellAnchor>
  <xdr:twoCellAnchor editAs="oneCell">
    <xdr:from>
      <xdr:col>4</xdr:col>
      <xdr:colOff>38100</xdr:colOff>
      <xdr:row>1</xdr:row>
      <xdr:rowOff>38100</xdr:rowOff>
    </xdr:from>
    <xdr:to>
      <xdr:col>4</xdr:col>
      <xdr:colOff>762000</xdr:colOff>
      <xdr:row>2</xdr:row>
      <xdr:rowOff>127000</xdr:rowOff>
    </xdr:to>
    <xdr:sp macro="" textlink="">
      <xdr:nvSpPr>
        <xdr:cNvPr id="1027" name="CommandButton3" hidden="1">
          <a:extLst>
            <a:ext uri="{63B3BB69-23CF-44E3-9099-C40C66FF867C}">
              <a14:compatExt xmlns:a14="http://schemas.microsoft.com/office/drawing/2010/main"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749300</xdr:colOff>
      <xdr:row>1</xdr:row>
      <xdr:rowOff>38100</xdr:rowOff>
    </xdr:from>
    <xdr:to>
      <xdr:col>5</xdr:col>
      <xdr:colOff>139700</xdr:colOff>
      <xdr:row>2</xdr:row>
      <xdr:rowOff>127000</xdr:rowOff>
    </xdr:to>
    <xdr:sp macro="" textlink="">
      <xdr:nvSpPr>
        <xdr:cNvPr id="1028" name="CommandButton2" hidden="1">
          <a:extLst>
            <a:ext uri="{63B3BB69-23CF-44E3-9099-C40C66FF867C}">
              <a14:compatExt xmlns:a14="http://schemas.microsoft.com/office/drawing/2010/main"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914400</xdr:colOff>
      <xdr:row>0</xdr:row>
      <xdr:rowOff>190500</xdr:rowOff>
    </xdr:from>
    <xdr:to>
      <xdr:col>7</xdr:col>
      <xdr:colOff>927100</xdr:colOff>
      <xdr:row>2</xdr:row>
      <xdr:rowOff>114300</xdr:rowOff>
    </xdr:to>
    <xdr:sp macro="" textlink="">
      <xdr:nvSpPr>
        <xdr:cNvPr id="1029" name="CommandButton4" hidden="1">
          <a:extLst>
            <a:ext uri="{63B3BB69-23CF-44E3-9099-C40C66FF867C}">
              <a14:compatExt xmlns:a14="http://schemas.microsoft.com/office/drawing/2010/main"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1818945</xdr:colOff>
      <xdr:row>0</xdr:row>
      <xdr:rowOff>134696</xdr:rowOff>
    </xdr:from>
    <xdr:to>
      <xdr:col>5</xdr:col>
      <xdr:colOff>2180896</xdr:colOff>
      <xdr:row>2</xdr:row>
      <xdr:rowOff>98601</xdr:rowOff>
    </xdr:to>
    <xdr:pic macro="[0]!ZoomOut">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05662" y="134696"/>
          <a:ext cx="361951" cy="361582"/>
        </a:xfrm>
        <a:prstGeom prst="rect">
          <a:avLst/>
        </a:prstGeom>
      </xdr:spPr>
    </xdr:pic>
    <xdr:clientData/>
  </xdr:twoCellAnchor>
  <xdr:twoCellAnchor editAs="oneCell">
    <xdr:from>
      <xdr:col>5</xdr:col>
      <xdr:colOff>1314895</xdr:colOff>
      <xdr:row>0</xdr:row>
      <xdr:rowOff>144996</xdr:rowOff>
    </xdr:from>
    <xdr:to>
      <xdr:col>5</xdr:col>
      <xdr:colOff>1676846</xdr:colOff>
      <xdr:row>2</xdr:row>
      <xdr:rowOff>108901</xdr:rowOff>
    </xdr:to>
    <xdr:pic macro="[0]!ZoomIn">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01612" y="144996"/>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790575</xdr:colOff>
          <xdr:row>0</xdr:row>
          <xdr:rowOff>200025</xdr:rowOff>
        </xdr:from>
        <xdr:to>
          <xdr:col>5</xdr:col>
          <xdr:colOff>323850</xdr:colOff>
          <xdr:row>2</xdr:row>
          <xdr:rowOff>66675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200025</xdr:rowOff>
        </xdr:from>
        <xdr:to>
          <xdr:col>4</xdr:col>
          <xdr:colOff>781050</xdr:colOff>
          <xdr:row>2</xdr:row>
          <xdr:rowOff>66675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0</xdr:row>
          <xdr:rowOff>123825</xdr:rowOff>
        </xdr:from>
        <xdr:to>
          <xdr:col>7</xdr:col>
          <xdr:colOff>304800</xdr:colOff>
          <xdr:row>2</xdr:row>
          <xdr:rowOff>85725</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352425</xdr:colOff>
          <xdr:row>0</xdr:row>
          <xdr:rowOff>114300</xdr:rowOff>
        </xdr:from>
        <xdr:to>
          <xdr:col>9</xdr:col>
          <xdr:colOff>257175</xdr:colOff>
          <xdr:row>2</xdr:row>
          <xdr:rowOff>85725</xdr:rowOff>
        </xdr:to>
        <xdr:sp macro="" textlink="">
          <xdr:nvSpPr>
            <xdr:cNvPr id="15364" name="CommandButton3" hidden="1">
              <a:extLst>
                <a:ext uri="{63B3BB69-23CF-44E3-9099-C40C66FF867C}">
                  <a14:compatExt spid="_x0000_s15364"/>
                </a:ext>
                <a:ext uri="{FF2B5EF4-FFF2-40B4-BE49-F238E27FC236}">
                  <a16:creationId xmlns:a16="http://schemas.microsoft.com/office/drawing/2014/main" id="{00000000-0008-0000-05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0</xdr:row>
          <xdr:rowOff>104775</xdr:rowOff>
        </xdr:from>
        <xdr:to>
          <xdr:col>10</xdr:col>
          <xdr:colOff>1228725</xdr:colOff>
          <xdr:row>2</xdr:row>
          <xdr:rowOff>85725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Update Sales Amount</a:t>
              </a:r>
            </a:p>
          </xdr:txBody>
        </xdr:sp>
        <xdr:clientData fPrintsWithSheet="0"/>
      </xdr:twoCellAnchor>
    </mc:Choice>
    <mc:Fallback/>
  </mc:AlternateContent>
  <xdr:twoCellAnchor editAs="oneCell">
    <xdr:from>
      <xdr:col>5</xdr:col>
      <xdr:colOff>583687</xdr:colOff>
      <xdr:row>0</xdr:row>
      <xdr:rowOff>102627</xdr:rowOff>
    </xdr:from>
    <xdr:to>
      <xdr:col>5</xdr:col>
      <xdr:colOff>1053587</xdr:colOff>
      <xdr:row>2</xdr:row>
      <xdr:rowOff>174850</xdr:rowOff>
    </xdr:to>
    <xdr:pic macro="[0]!PrintActiveWorkbook">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70404" y="102627"/>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1285875</xdr:colOff>
          <xdr:row>0</xdr:row>
          <xdr:rowOff>104775</xdr:rowOff>
        </xdr:from>
        <xdr:to>
          <xdr:col>13</xdr:col>
          <xdr:colOff>381000</xdr:colOff>
          <xdr:row>2</xdr:row>
          <xdr:rowOff>85725</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500-000007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Save As PDF</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6</xdr:col>
      <xdr:colOff>241300</xdr:colOff>
      <xdr:row>2</xdr:row>
      <xdr:rowOff>177800</xdr:rowOff>
    </xdr:from>
    <xdr:to>
      <xdr:col>8</xdr:col>
      <xdr:colOff>241300</xdr:colOff>
      <xdr:row>4</xdr:row>
      <xdr:rowOff>127000</xdr:rowOff>
    </xdr:to>
    <xdr:sp macro="" textlink="">
      <xdr:nvSpPr>
        <xdr:cNvPr id="3073" name="CommandButton1" hidden="1">
          <a:extLst>
            <a:ext uri="{63B3BB69-23CF-44E3-9099-C40C66FF867C}">
              <a14:compatExt xmlns:a14="http://schemas.microsoft.com/office/drawing/2010/main"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241300</xdr:colOff>
      <xdr:row>6</xdr:row>
      <xdr:rowOff>152400</xdr:rowOff>
    </xdr:from>
    <xdr:to>
      <xdr:col>8</xdr:col>
      <xdr:colOff>241300</xdr:colOff>
      <xdr:row>8</xdr:row>
      <xdr:rowOff>114300</xdr:rowOff>
    </xdr:to>
    <xdr:sp macro="" textlink="">
      <xdr:nvSpPr>
        <xdr:cNvPr id="3074" name="CommandButton2" hidden="1">
          <a:extLst>
            <a:ext uri="{63B3BB69-23CF-44E3-9099-C40C66FF867C}">
              <a14:compatExt xmlns:a14="http://schemas.microsoft.com/office/drawing/2010/main"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28575</xdr:rowOff>
    </xdr:from>
    <xdr:to>
      <xdr:col>2</xdr:col>
      <xdr:colOff>376919</xdr:colOff>
      <xdr:row>2</xdr:row>
      <xdr:rowOff>152400</xdr:rowOff>
    </xdr:to>
    <xdr:pic macro="[0]!ThisWorkbook.Homepage_Redirect">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8575"/>
          <a:ext cx="2481944" cy="542925"/>
        </a:xfrm>
        <a:prstGeom prst="rect">
          <a:avLst/>
        </a:prstGeom>
      </xdr:spPr>
    </xdr:pic>
    <xdr:clientData/>
  </xdr:twoCellAnchor>
  <xdr:twoCellAnchor editAs="oneCell">
    <xdr:from>
      <xdr:col>4</xdr:col>
      <xdr:colOff>88900</xdr:colOff>
      <xdr:row>1</xdr:row>
      <xdr:rowOff>50800</xdr:rowOff>
    </xdr:from>
    <xdr:to>
      <xdr:col>4</xdr:col>
      <xdr:colOff>812800</xdr:colOff>
      <xdr:row>2</xdr:row>
      <xdr:rowOff>139700</xdr:rowOff>
    </xdr:to>
    <xdr:sp macro="" textlink="">
      <xdr:nvSpPr>
        <xdr:cNvPr id="3075" name="CommandButton3" hidden="1">
          <a:extLst>
            <a:ext uri="{63B3BB69-23CF-44E3-9099-C40C66FF867C}">
              <a14:compatExt xmlns:a14="http://schemas.microsoft.com/office/drawing/2010/main" spid="_x0000_s3075"/>
            </a:ext>
            <a:ext uri="{FF2B5EF4-FFF2-40B4-BE49-F238E27FC236}">
              <a16:creationId xmlns:a16="http://schemas.microsoft.com/office/drawing/2014/main" id="{00000000-0008-0000-0600-000003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800100</xdr:colOff>
      <xdr:row>1</xdr:row>
      <xdr:rowOff>50800</xdr:rowOff>
    </xdr:from>
    <xdr:to>
      <xdr:col>4</xdr:col>
      <xdr:colOff>1501775</xdr:colOff>
      <xdr:row>2</xdr:row>
      <xdr:rowOff>139700</xdr:rowOff>
    </xdr:to>
    <xdr:sp macro="" textlink="">
      <xdr:nvSpPr>
        <xdr:cNvPr id="3076" name="CommandButton4" hidden="1">
          <a:extLst>
            <a:ext uri="{63B3BB69-23CF-44E3-9099-C40C66FF867C}">
              <a14:compatExt xmlns:a14="http://schemas.microsoft.com/office/drawing/2010/main"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288150</xdr:colOff>
      <xdr:row>0</xdr:row>
      <xdr:rowOff>146050</xdr:rowOff>
    </xdr:from>
    <xdr:to>
      <xdr:col>7</xdr:col>
      <xdr:colOff>34151</xdr:colOff>
      <xdr:row>2</xdr:row>
      <xdr:rowOff>113932</xdr:rowOff>
    </xdr:to>
    <xdr:pic macro="[0]!ZoomOut">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16000" y="146050"/>
          <a:ext cx="361951" cy="361582"/>
        </a:xfrm>
        <a:prstGeom prst="rect">
          <a:avLst/>
        </a:prstGeom>
      </xdr:spPr>
    </xdr:pic>
    <xdr:clientData/>
  </xdr:twoCellAnchor>
  <xdr:twoCellAnchor editAs="oneCell">
    <xdr:from>
      <xdr:col>5</xdr:col>
      <xdr:colOff>1003300</xdr:colOff>
      <xdr:row>0</xdr:row>
      <xdr:rowOff>156350</xdr:rowOff>
    </xdr:from>
    <xdr:to>
      <xdr:col>6</xdr:col>
      <xdr:colOff>146051</xdr:colOff>
      <xdr:row>2</xdr:row>
      <xdr:rowOff>124232</xdr:rowOff>
    </xdr:to>
    <xdr:pic macro="[0]!ZoomIn">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711950" y="156350"/>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742950</xdr:colOff>
          <xdr:row>1</xdr:row>
          <xdr:rowOff>19050</xdr:rowOff>
        </xdr:from>
        <xdr:to>
          <xdr:col>4</xdr:col>
          <xdr:colOff>1571625</xdr:colOff>
          <xdr:row>2</xdr:row>
          <xdr:rowOff>85725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600-0000014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1000125</xdr:colOff>
          <xdr:row>1</xdr:row>
          <xdr:rowOff>19050</xdr:rowOff>
        </xdr:from>
        <xdr:to>
          <xdr:col>4</xdr:col>
          <xdr:colOff>733425</xdr:colOff>
          <xdr:row>2</xdr:row>
          <xdr:rowOff>85725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0</xdr:row>
          <xdr:rowOff>161925</xdr:rowOff>
        </xdr:from>
        <xdr:to>
          <xdr:col>8</xdr:col>
          <xdr:colOff>485775</xdr:colOff>
          <xdr:row>2</xdr:row>
          <xdr:rowOff>114300</xdr:rowOff>
        </xdr:to>
        <xdr:sp macro="" textlink="">
          <xdr:nvSpPr>
            <xdr:cNvPr id="16387" name="CommandButton4" hidden="1">
              <a:extLst>
                <a:ext uri="{63B3BB69-23CF-44E3-9099-C40C66FF867C}">
                  <a14:compatExt spid="_x0000_s16387"/>
                </a:ext>
                <a:ext uri="{FF2B5EF4-FFF2-40B4-BE49-F238E27FC236}">
                  <a16:creationId xmlns:a16="http://schemas.microsoft.com/office/drawing/2014/main" id="{00000000-0008-0000-06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0</xdr:row>
          <xdr:rowOff>133350</xdr:rowOff>
        </xdr:from>
        <xdr:to>
          <xdr:col>16</xdr:col>
          <xdr:colOff>523875</xdr:colOff>
          <xdr:row>2</xdr:row>
          <xdr:rowOff>104775</xdr:rowOff>
        </xdr:to>
        <xdr:sp macro="" textlink="">
          <xdr:nvSpPr>
            <xdr:cNvPr id="16388" name="CommandButton5" hidden="1">
              <a:extLst>
                <a:ext uri="{63B3BB69-23CF-44E3-9099-C40C66FF867C}">
                  <a14:compatExt spid="_x0000_s16388"/>
                </a:ext>
                <a:ext uri="{FF2B5EF4-FFF2-40B4-BE49-F238E27FC236}">
                  <a16:creationId xmlns:a16="http://schemas.microsoft.com/office/drawing/2014/main" id="{00000000-0008-0000-06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317500</xdr:colOff>
      <xdr:row>0</xdr:row>
      <xdr:rowOff>107950</xdr:rowOff>
    </xdr:from>
    <xdr:to>
      <xdr:col>5</xdr:col>
      <xdr:colOff>787400</xdr:colOff>
      <xdr:row>2</xdr:row>
      <xdr:rowOff>184150</xdr:rowOff>
    </xdr:to>
    <xdr:pic macro="[0]!PrintActiveWorkbook">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26150" y="107950"/>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57150</xdr:colOff>
          <xdr:row>0</xdr:row>
          <xdr:rowOff>142875</xdr:rowOff>
        </xdr:from>
        <xdr:to>
          <xdr:col>18</xdr:col>
          <xdr:colOff>514350</xdr:colOff>
          <xdr:row>2</xdr:row>
          <xdr:rowOff>95250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600-000007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0</xdr:row>
          <xdr:rowOff>142875</xdr:rowOff>
        </xdr:from>
        <xdr:to>
          <xdr:col>20</xdr:col>
          <xdr:colOff>476250</xdr:colOff>
          <xdr:row>2</xdr:row>
          <xdr:rowOff>95250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600-0000084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Palatino Linotype"/>
                </a:rPr>
                <a:t>Clear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47625</xdr:rowOff>
    </xdr:from>
    <xdr:to>
      <xdr:col>1</xdr:col>
      <xdr:colOff>1602469</xdr:colOff>
      <xdr:row>2</xdr:row>
      <xdr:rowOff>171450</xdr:rowOff>
    </xdr:to>
    <xdr:pic macro="[0]!ThisWorkbook.Homepage_Redirect">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7625"/>
          <a:ext cx="2481944" cy="542925"/>
        </a:xfrm>
        <a:prstGeom prst="rect">
          <a:avLst/>
        </a:prstGeom>
      </xdr:spPr>
    </xdr:pic>
    <xdr:clientData/>
  </xdr:twoCellAnchor>
  <xdr:twoCellAnchor editAs="oneCell">
    <xdr:from>
      <xdr:col>6</xdr:col>
      <xdr:colOff>38100</xdr:colOff>
      <xdr:row>1</xdr:row>
      <xdr:rowOff>50800</xdr:rowOff>
    </xdr:from>
    <xdr:to>
      <xdr:col>7</xdr:col>
      <xdr:colOff>0</xdr:colOff>
      <xdr:row>2</xdr:row>
      <xdr:rowOff>139700</xdr:rowOff>
    </xdr:to>
    <xdr:sp macro="" textlink="">
      <xdr:nvSpPr>
        <xdr:cNvPr id="7169" name="CommandButton1" hidden="1">
          <a:extLst>
            <a:ext uri="{63B3BB69-23CF-44E3-9099-C40C66FF867C}">
              <a14:compatExt xmlns:a14="http://schemas.microsoft.com/office/drawing/2010/main"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186550</xdr:colOff>
      <xdr:row>0</xdr:row>
      <xdr:rowOff>158750</xdr:rowOff>
    </xdr:from>
    <xdr:to>
      <xdr:col>9</xdr:col>
      <xdr:colOff>548501</xdr:colOff>
      <xdr:row>2</xdr:row>
      <xdr:rowOff>126632</xdr:rowOff>
    </xdr:to>
    <xdr:pic macro="[0]!ZoomOut">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06700" y="158750"/>
          <a:ext cx="361951" cy="361582"/>
        </a:xfrm>
        <a:prstGeom prst="rect">
          <a:avLst/>
        </a:prstGeom>
      </xdr:spPr>
    </xdr:pic>
    <xdr:clientData/>
  </xdr:twoCellAnchor>
  <xdr:twoCellAnchor editAs="oneCell">
    <xdr:from>
      <xdr:col>8</xdr:col>
      <xdr:colOff>438150</xdr:colOff>
      <xdr:row>0</xdr:row>
      <xdr:rowOff>169050</xdr:rowOff>
    </xdr:from>
    <xdr:to>
      <xdr:col>9</xdr:col>
      <xdr:colOff>44451</xdr:colOff>
      <xdr:row>2</xdr:row>
      <xdr:rowOff>136932</xdr:rowOff>
    </xdr:to>
    <xdr:pic macro="[0]!ZoomIn">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502650" y="169050"/>
          <a:ext cx="361951" cy="361582"/>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171450</xdr:colOff>
          <xdr:row>1</xdr:row>
          <xdr:rowOff>28575</xdr:rowOff>
        </xdr:from>
        <xdr:to>
          <xdr:col>7</xdr:col>
          <xdr:colOff>152400</xdr:colOff>
          <xdr:row>2</xdr:row>
          <xdr:rowOff>104775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200" b="0" i="0" u="none" strike="noStrike" baseline="0">
                  <a:solidFill>
                    <a:srgbClr val="000000"/>
                  </a:solidFill>
                  <a:latin typeface="Palatino Linotype"/>
                </a:rPr>
                <a:t>Prev</a:t>
              </a:r>
            </a:p>
          </xdr:txBody>
        </xdr:sp>
        <xdr:clientData fPrintsWithSheet="0"/>
      </xdr:twoCellAnchor>
    </mc:Choice>
    <mc:Fallback/>
  </mc:AlternateContent>
  <xdr:twoCellAnchor editAs="oneCell">
    <xdr:from>
      <xdr:col>7</xdr:col>
      <xdr:colOff>469900</xdr:colOff>
      <xdr:row>0</xdr:row>
      <xdr:rowOff>114300</xdr:rowOff>
    </xdr:from>
    <xdr:to>
      <xdr:col>8</xdr:col>
      <xdr:colOff>184150</xdr:colOff>
      <xdr:row>2</xdr:row>
      <xdr:rowOff>190500</xdr:rowOff>
    </xdr:to>
    <xdr:pic macro="[0]!PrintActiveWorkbook">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778750" y="114300"/>
          <a:ext cx="469900" cy="469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133350</xdr:rowOff>
        </xdr:from>
        <xdr:to>
          <xdr:col>11</xdr:col>
          <xdr:colOff>514350</xdr:colOff>
          <xdr:row>2</xdr:row>
          <xdr:rowOff>142875</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cho/Downloads/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Page"/>
      <sheetName val="Inventory Worksheet"/>
      <sheetName val="Product Worksheet"/>
      <sheetName val="Employee Worksheet"/>
      <sheetName val="Customer Worksheet"/>
      <sheetName val="Transaction Worksheet"/>
      <sheetName val="Supplier Worksheet"/>
      <sheetName val="Data Valid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CEO</v>
          </cell>
          <cell r="B2" t="str">
            <v>Salaried</v>
          </cell>
        </row>
        <row r="3">
          <cell r="A3" t="str">
            <v>CFO</v>
          </cell>
          <cell r="B3" t="str">
            <v>Full-Time</v>
          </cell>
        </row>
        <row r="4">
          <cell r="A4" t="str">
            <v>COO</v>
          </cell>
          <cell r="B4" t="str">
            <v>Part-Time</v>
          </cell>
        </row>
        <row r="5">
          <cell r="A5" t="str">
            <v>CTO</v>
          </cell>
        </row>
        <row r="6">
          <cell r="A6" t="str">
            <v>CMO</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oper Devoe" refreshedDate="44900.117512500001" createdVersion="8" refreshedVersion="8" minRefreshableVersion="3" recordCount="47" xr:uid="{4B42EFCC-95D9-4270-83D0-57E13E1B87AB}">
  <cacheSource type="worksheet">
    <worksheetSource ref="A4:C51" sheet="Products"/>
  </cacheSource>
  <cacheFields count="3">
    <cacheField name="Product Type" numFmtId="0">
      <sharedItems containsBlank="1" count="41">
        <s v="W - Crew Neck Long S - Black"/>
        <s v="M - Crew Neck Short - Black"/>
        <s v="W - Crew Neck Short - Black"/>
        <s v="M - Crew Neck Short - White"/>
        <s v="W - Crew Neck Short - White"/>
        <s v="M - Crew Neck Short - Beige"/>
        <s v="W - Crew Neck Short - Beige"/>
        <s v="M - Crew Neck Short - Grey"/>
        <s v="W - Crew Neck Short - Grey"/>
        <s v="M - Crew Neck Short - Forest Green"/>
        <s v="W - Crew Neck Short - Forest Green"/>
        <s v="M - Crew Neck Long S - Black"/>
        <s v="M - Crew Neck Long S - White"/>
        <s v="W - Crew Neck Long S - White"/>
        <s v="M - Crew Neck Long S - Beige"/>
        <s v="W - Crew Neck Long S - Biege"/>
        <s v="M - Crew Neck Long S - Grey"/>
        <s v="W - Crew Neck Long S - Grey"/>
        <s v="M - Crew Neck Long S - Forest Green"/>
        <s v="W - Crew Neck Long S - Forest Green"/>
        <s v="M - V-Neck Short - Black"/>
        <s v="W - V-Neck Short - Black"/>
        <s v="M - V-Neck Short - White"/>
        <s v="W - V-Neck Short - White"/>
        <s v="M - V-Neck Short - Beige"/>
        <s v="W - V-Neck Short - Beige"/>
        <s v="M - V-Neck Short - Grey"/>
        <s v="W - V-Neck Short - Grey"/>
        <s v="M - V-Neck Short - Forest Green"/>
        <s v="W - V-Neck Short - Forest Green"/>
        <s v="M - V-Neck Long S - Black"/>
        <s v="W - V-Neck Long S - Black"/>
        <s v="M - V-Neck Long S - White"/>
        <s v="W - V-Neck Long S - White"/>
        <s v="M - V-Neck Long S - Beige"/>
        <s v="W - V-Neck Long S - Beige"/>
        <s v="M - V-Neck Long S - Grey"/>
        <s v="W - V-Neck Long S - Grey"/>
        <s v="M - V-Neck Long S - Forest Green"/>
        <s v="W - V-Neck Long S - Forest Green"/>
        <m/>
      </sharedItems>
    </cacheField>
    <cacheField name="Product Number" numFmtId="0">
      <sharedItems containsBlank="1" count="42">
        <s v="#45"/>
        <s v="#0000"/>
        <s v="#0001"/>
        <s v="#0002"/>
        <s v="#0003"/>
        <s v="#0004"/>
        <s v="#0005"/>
        <s v="#0006"/>
        <s v="#0007"/>
        <s v="#0008"/>
        <s v="#0009"/>
        <s v="#0010"/>
        <s v="#0011"/>
        <s v="#0012"/>
        <s v="#0013"/>
        <s v="#0014"/>
        <s v="#0015"/>
        <s v="#0016"/>
        <s v="#0017"/>
        <s v="#0018"/>
        <s v="#0019"/>
        <s v="#0020"/>
        <s v="#0021"/>
        <s v="#0022"/>
        <s v="#0023"/>
        <s v="#0024"/>
        <s v="#0025"/>
        <s v="#0026"/>
        <s v="#0027"/>
        <s v="#0028"/>
        <s v="#0029"/>
        <s v="#0030"/>
        <s v="#0031"/>
        <s v="#0032"/>
        <s v="#0033"/>
        <s v="#0034"/>
        <s v="#0035"/>
        <s v="#0036"/>
        <s v="#0037"/>
        <s v="#0038"/>
        <s v="#0039"/>
        <m/>
      </sharedItems>
    </cacheField>
    <cacheField name="Price" numFmtId="0">
      <sharedItems containsString="0" containsBlank="1" containsNumber="1" minValue="7.99" maxValue="8.99" count="3">
        <n v="7.99"/>
        <n v="8.9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x v="0"/>
    <x v="0"/>
    <x v="0"/>
  </r>
  <r>
    <x v="1"/>
    <x v="1"/>
    <x v="0"/>
  </r>
  <r>
    <x v="2"/>
    <x v="2"/>
    <x v="0"/>
  </r>
  <r>
    <x v="3"/>
    <x v="3"/>
    <x v="0"/>
  </r>
  <r>
    <x v="4"/>
    <x v="4"/>
    <x v="0"/>
  </r>
  <r>
    <x v="5"/>
    <x v="5"/>
    <x v="0"/>
  </r>
  <r>
    <x v="6"/>
    <x v="6"/>
    <x v="0"/>
  </r>
  <r>
    <x v="7"/>
    <x v="7"/>
    <x v="0"/>
  </r>
  <r>
    <x v="8"/>
    <x v="8"/>
    <x v="0"/>
  </r>
  <r>
    <x v="9"/>
    <x v="9"/>
    <x v="0"/>
  </r>
  <r>
    <x v="10"/>
    <x v="10"/>
    <x v="0"/>
  </r>
  <r>
    <x v="11"/>
    <x v="11"/>
    <x v="1"/>
  </r>
  <r>
    <x v="0"/>
    <x v="12"/>
    <x v="1"/>
  </r>
  <r>
    <x v="12"/>
    <x v="13"/>
    <x v="1"/>
  </r>
  <r>
    <x v="13"/>
    <x v="14"/>
    <x v="1"/>
  </r>
  <r>
    <x v="14"/>
    <x v="15"/>
    <x v="1"/>
  </r>
  <r>
    <x v="15"/>
    <x v="16"/>
    <x v="1"/>
  </r>
  <r>
    <x v="16"/>
    <x v="17"/>
    <x v="1"/>
  </r>
  <r>
    <x v="17"/>
    <x v="18"/>
    <x v="1"/>
  </r>
  <r>
    <x v="18"/>
    <x v="19"/>
    <x v="1"/>
  </r>
  <r>
    <x v="19"/>
    <x v="20"/>
    <x v="1"/>
  </r>
  <r>
    <x v="20"/>
    <x v="21"/>
    <x v="0"/>
  </r>
  <r>
    <x v="21"/>
    <x v="22"/>
    <x v="0"/>
  </r>
  <r>
    <x v="22"/>
    <x v="23"/>
    <x v="0"/>
  </r>
  <r>
    <x v="23"/>
    <x v="24"/>
    <x v="0"/>
  </r>
  <r>
    <x v="24"/>
    <x v="25"/>
    <x v="0"/>
  </r>
  <r>
    <x v="25"/>
    <x v="26"/>
    <x v="0"/>
  </r>
  <r>
    <x v="26"/>
    <x v="27"/>
    <x v="0"/>
  </r>
  <r>
    <x v="27"/>
    <x v="28"/>
    <x v="0"/>
  </r>
  <r>
    <x v="28"/>
    <x v="29"/>
    <x v="0"/>
  </r>
  <r>
    <x v="29"/>
    <x v="30"/>
    <x v="0"/>
  </r>
  <r>
    <x v="30"/>
    <x v="31"/>
    <x v="1"/>
  </r>
  <r>
    <x v="31"/>
    <x v="32"/>
    <x v="1"/>
  </r>
  <r>
    <x v="32"/>
    <x v="33"/>
    <x v="1"/>
  </r>
  <r>
    <x v="33"/>
    <x v="34"/>
    <x v="1"/>
  </r>
  <r>
    <x v="34"/>
    <x v="35"/>
    <x v="1"/>
  </r>
  <r>
    <x v="35"/>
    <x v="36"/>
    <x v="1"/>
  </r>
  <r>
    <x v="36"/>
    <x v="37"/>
    <x v="1"/>
  </r>
  <r>
    <x v="37"/>
    <x v="38"/>
    <x v="1"/>
  </r>
  <r>
    <x v="38"/>
    <x v="39"/>
    <x v="1"/>
  </r>
  <r>
    <x v="39"/>
    <x v="40"/>
    <x v="1"/>
  </r>
  <r>
    <x v="40"/>
    <x v="41"/>
    <x v="2"/>
  </r>
  <r>
    <x v="40"/>
    <x v="41"/>
    <x v="2"/>
  </r>
  <r>
    <x v="40"/>
    <x v="41"/>
    <x v="2"/>
  </r>
  <r>
    <x v="40"/>
    <x v="41"/>
    <x v="2"/>
  </r>
  <r>
    <x v="40"/>
    <x v="41"/>
    <x v="2"/>
  </r>
  <r>
    <x v="40"/>
    <x v="4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6EC276-6C6B-4CEB-8BCB-6D8BE387FED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6:H49" firstHeaderRow="1" firstDataRow="1" firstDataCol="1" rowPageCount="1" colPageCount="1"/>
  <pivotFields count="3">
    <pivotField axis="axisPage" showAll="0">
      <items count="42">
        <item x="14"/>
        <item x="11"/>
        <item x="18"/>
        <item x="16"/>
        <item x="12"/>
        <item x="5"/>
        <item x="1"/>
        <item x="9"/>
        <item x="7"/>
        <item x="3"/>
        <item x="34"/>
        <item x="30"/>
        <item x="38"/>
        <item x="36"/>
        <item x="32"/>
        <item x="24"/>
        <item x="20"/>
        <item x="28"/>
        <item x="26"/>
        <item x="22"/>
        <item x="15"/>
        <item x="0"/>
        <item x="19"/>
        <item x="17"/>
        <item x="13"/>
        <item x="6"/>
        <item x="2"/>
        <item x="10"/>
        <item x="8"/>
        <item x="4"/>
        <item x="35"/>
        <item x="31"/>
        <item x="39"/>
        <item x="37"/>
        <item x="33"/>
        <item x="25"/>
        <item x="21"/>
        <item x="29"/>
        <item x="27"/>
        <item x="23"/>
        <item x="40"/>
        <item t="default"/>
      </items>
    </pivotField>
    <pivotField axis="axisRow" showAll="0">
      <items count="43">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0"/>
        <item x="41"/>
        <item t="default"/>
      </items>
    </pivotField>
    <pivotField dataField="1" showAll="0">
      <items count="4">
        <item x="0"/>
        <item x="1"/>
        <item x="2"/>
        <item t="default"/>
      </items>
    </pivotField>
  </pivotFields>
  <rowFields count="1">
    <field x="1"/>
  </rowFields>
  <rowItems count="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t="grand">
      <x/>
    </i>
  </rowItems>
  <colItems count="1">
    <i/>
  </colItems>
  <pageFields count="1">
    <pageField fld="0" hier="-1"/>
  </pageFields>
  <dataFields count="1">
    <dataField name="Sum of Price" fld="2" baseField="0" baseItem="0"/>
  </dataFields>
  <formats count="6">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0"/>
        </references>
      </pivotArea>
    </format>
    <format dxfId="1">
      <pivotArea dataOnly="0" labelOnly="1" grandRow="1" outline="0" fieldPosition="0"/>
    </format>
    <format dxfId="0">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D0501E-9599-482C-8428-63226AACB14F}" name="Table1" displayName="Table1" ref="A4:H25" totalsRowShown="0" headerRowDxfId="17" dataDxfId="15" headerRowBorderDxfId="16" tableBorderDxfId="14">
  <autoFilter ref="A4:H25" xr:uid="{EED0501E-9599-482C-8428-63226AACB14F}"/>
  <tableColumns count="8">
    <tableColumn id="1" xr3:uid="{82B3FBFE-502A-4760-8818-28430CC5D461}" name="Last Name" dataDxfId="13"/>
    <tableColumn id="2" xr3:uid="{CC91D868-70C8-49E1-9E79-FC93B9A0CFD9}" name="First Name" dataDxfId="12"/>
    <tableColumn id="3" xr3:uid="{43F720A7-B54D-434C-B3C6-29DEEA9E172F}" name="Phone Number" dataDxfId="11"/>
    <tableColumn id="4" xr3:uid="{D7AA84B7-6916-4A06-9568-F07A070F7BD2}" name="Email Address" dataDxfId="10">
      <calculatedColumnFormula>_xlfn.CONCAT(A5,".",B5,"@csumb.edu")</calculatedColumnFormula>
    </tableColumn>
    <tableColumn id="5" xr3:uid="{6064ACDD-D630-4576-A90D-EAF6E3DC4C3F}" name="Address" dataDxfId="9"/>
    <tableColumn id="6" xr3:uid="{40AB93DA-5651-4B0A-A272-EB0D91EDFD75}" name="Customer Since" dataDxfId="8"/>
    <tableColumn id="7" xr3:uid="{6334CAD1-6E28-40C8-AAA4-B252F7F963FE}" name="Birthdate" dataDxfId="7"/>
    <tableColumn id="8" xr3:uid="{59787054-A7D3-449E-AA80-956C3F056556}" name="Birthday?" dataDxfId="6">
      <calculatedColumnFormula>IF(AND(DAY(TODAY())=DAY(G5),MONTH(TODAY())=MONTH(G5)), "Happy Birthday! 10% Discount.", "Wait.")</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printerSettings" Target="../printerSettings/printerSettings2.bin"/><Relationship Id="rId7" Type="http://schemas.openxmlformats.org/officeDocument/2006/relationships/control" Target="../activeX/activeX1.xml"/><Relationship Id="rId2" Type="http://schemas.openxmlformats.org/officeDocument/2006/relationships/hyperlink" Target="mailto:James.Monroe@csumb.edu" TargetMode="External"/><Relationship Id="rId1" Type="http://schemas.openxmlformats.org/officeDocument/2006/relationships/hyperlink" Target="mailto:Paul.Johnson@csumb.edu" TargetMode="External"/><Relationship Id="rId6" Type="http://schemas.openxmlformats.org/officeDocument/2006/relationships/image" Target="../media/image1.jpeg"/><Relationship Id="rId11" Type="http://schemas.openxmlformats.org/officeDocument/2006/relationships/table" Target="../tables/table1.xml"/><Relationship Id="rId5" Type="http://schemas.openxmlformats.org/officeDocument/2006/relationships/vmlDrawing" Target="../drawings/vmlDrawing2.vml"/><Relationship Id="rId10" Type="http://schemas.openxmlformats.org/officeDocument/2006/relationships/ctrlProp" Target="../ctrlProps/ctrlProp13.xml"/><Relationship Id="rId4" Type="http://schemas.openxmlformats.org/officeDocument/2006/relationships/drawing" Target="../drawings/drawing2.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image" Target="../media/image1.jpeg"/></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drawing" Target="../drawings/drawing4.xml"/><Relationship Id="rId7" Type="http://schemas.openxmlformats.org/officeDocument/2006/relationships/image" Target="../media/image14.emf"/><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control" Target="../activeX/activeX2.xml"/><Relationship Id="rId5" Type="http://schemas.openxmlformats.org/officeDocument/2006/relationships/image" Target="../media/image1.jpeg"/><Relationship Id="rId4" Type="http://schemas.openxmlformats.org/officeDocument/2006/relationships/vmlDrawing" Target="../drawings/vmlDrawing4.v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image" Target="../media/image15.emf"/><Relationship Id="rId5" Type="http://schemas.openxmlformats.org/officeDocument/2006/relationships/control" Target="../activeX/activeX3.xml"/><Relationship Id="rId4" Type="http://schemas.openxmlformats.org/officeDocument/2006/relationships/image" Target="../media/image1.jpeg"/></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6.vml"/><Relationship Id="rId13" Type="http://schemas.openxmlformats.org/officeDocument/2006/relationships/image" Target="../media/image18.emf"/><Relationship Id="rId3" Type="http://schemas.openxmlformats.org/officeDocument/2006/relationships/hyperlink" Target="mailto:nschaefer@timmystees.com" TargetMode="External"/><Relationship Id="rId7" Type="http://schemas.openxmlformats.org/officeDocument/2006/relationships/drawing" Target="../drawings/drawing6.xml"/><Relationship Id="rId12" Type="http://schemas.openxmlformats.org/officeDocument/2006/relationships/control" Target="../activeX/activeX5.xml"/><Relationship Id="rId17" Type="http://schemas.openxmlformats.org/officeDocument/2006/relationships/ctrlProp" Target="../ctrlProps/ctrlProp25.xml"/><Relationship Id="rId2" Type="http://schemas.openxmlformats.org/officeDocument/2006/relationships/hyperlink" Target="mailto:jdunbar@timmystees.com" TargetMode="External"/><Relationship Id="rId16" Type="http://schemas.openxmlformats.org/officeDocument/2006/relationships/ctrlProp" Target="../ctrlProps/ctrlProp24.xml"/><Relationship Id="rId1" Type="http://schemas.openxmlformats.org/officeDocument/2006/relationships/hyperlink" Target="mailto:cdevoe@timmystees.com" TargetMode="External"/><Relationship Id="rId6" Type="http://schemas.openxmlformats.org/officeDocument/2006/relationships/printerSettings" Target="../printerSettings/printerSettings6.bin"/><Relationship Id="rId11" Type="http://schemas.openxmlformats.org/officeDocument/2006/relationships/image" Target="../media/image17.emf"/><Relationship Id="rId5" Type="http://schemas.openxmlformats.org/officeDocument/2006/relationships/hyperlink" Target="mailto:rsmith@timmystees.com" TargetMode="External"/><Relationship Id="rId15" Type="http://schemas.openxmlformats.org/officeDocument/2006/relationships/ctrlProp" Target="../ctrlProps/ctrlProp23.xml"/><Relationship Id="rId10" Type="http://schemas.openxmlformats.org/officeDocument/2006/relationships/control" Target="../activeX/activeX4.xml"/><Relationship Id="rId4" Type="http://schemas.openxmlformats.org/officeDocument/2006/relationships/hyperlink" Target="mailto:cvarela@timmystees.com" TargetMode="External"/><Relationship Id="rId9" Type="http://schemas.openxmlformats.org/officeDocument/2006/relationships/image" Target="../media/image1.jpeg"/><Relationship Id="rId1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vmlDrawing" Target="../drawings/vmlDrawing7.vml"/><Relationship Id="rId7" Type="http://schemas.openxmlformats.org/officeDocument/2006/relationships/control" Target="../activeX/activeX7.xml"/><Relationship Id="rId12" Type="http://schemas.openxmlformats.org/officeDocument/2006/relationships/ctrlProp" Target="../ctrlProps/ctrlProp29.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image" Target="../media/image19.emf"/><Relationship Id="rId11" Type="http://schemas.openxmlformats.org/officeDocument/2006/relationships/ctrlProp" Target="../ctrlProps/ctrlProp28.xml"/><Relationship Id="rId5" Type="http://schemas.openxmlformats.org/officeDocument/2006/relationships/control" Target="../activeX/activeX6.xml"/><Relationship Id="rId10" Type="http://schemas.openxmlformats.org/officeDocument/2006/relationships/ctrlProp" Target="../ctrlProps/ctrlProp27.xml"/><Relationship Id="rId4" Type="http://schemas.openxmlformats.org/officeDocument/2006/relationships/image" Target="../media/image1.jpeg"/><Relationship Id="rId9"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image" Target="../media/image21.emf"/><Relationship Id="rId5" Type="http://schemas.openxmlformats.org/officeDocument/2006/relationships/control" Target="../activeX/activeX8.xml"/><Relationship Id="rId4" Type="http://schemas.openxmlformats.org/officeDocument/2006/relationships/image" Target="../media/image1.jpe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3AB6B-9459-4BE7-882D-664918856166}">
  <sheetPr codeName="Sheet8"/>
  <dimension ref="A1:C38"/>
  <sheetViews>
    <sheetView tabSelected="1" zoomScaleNormal="100" workbookViewId="0">
      <selection activeCell="A22" sqref="A22"/>
    </sheetView>
  </sheetViews>
  <sheetFormatPr defaultColWidth="8.85546875" defaultRowHeight="15" x14ac:dyDescent="0.25"/>
  <cols>
    <col min="1" max="1" width="147.42578125" style="19" customWidth="1"/>
    <col min="2" max="2" width="12.28515625" style="19" customWidth="1"/>
    <col min="3" max="3" width="14.85546875" style="19" bestFit="1" customWidth="1"/>
    <col min="4" max="16384" width="8.85546875" style="19"/>
  </cols>
  <sheetData>
    <row r="1" spans="1:3" ht="16.5" x14ac:dyDescent="0.3">
      <c r="A1" s="1"/>
      <c r="B1" s="12">
        <v>0.16817129629629632</v>
      </c>
      <c r="C1" s="20"/>
    </row>
    <row r="2" spans="1:3" x14ac:dyDescent="0.25">
      <c r="A2" s="1"/>
      <c r="B2" s="1"/>
    </row>
    <row r="3" spans="1:3" x14ac:dyDescent="0.25">
      <c r="A3" s="1"/>
      <c r="B3" s="1"/>
    </row>
    <row r="4" spans="1:3" x14ac:dyDescent="0.25">
      <c r="A4" s="1"/>
      <c r="B4" s="1"/>
    </row>
    <row r="5" spans="1:3" x14ac:dyDescent="0.25">
      <c r="A5" s="1"/>
      <c r="B5" s="1"/>
    </row>
    <row r="6" spans="1:3" x14ac:dyDescent="0.25">
      <c r="A6" s="1"/>
      <c r="B6" s="1"/>
    </row>
    <row r="7" spans="1:3" x14ac:dyDescent="0.25">
      <c r="A7" s="1"/>
      <c r="B7" s="1"/>
    </row>
    <row r="8" spans="1:3" x14ac:dyDescent="0.25">
      <c r="A8" s="1"/>
      <c r="B8" s="1"/>
    </row>
    <row r="9" spans="1:3" x14ac:dyDescent="0.25">
      <c r="A9" s="1"/>
      <c r="B9" s="1"/>
    </row>
    <row r="10" spans="1:3" x14ac:dyDescent="0.25">
      <c r="A10" s="1"/>
      <c r="B10" s="1"/>
    </row>
    <row r="11" spans="1:3" ht="17.25" x14ac:dyDescent="0.35">
      <c r="A11" s="85" t="s">
        <v>110</v>
      </c>
    </row>
    <row r="12" spans="1:3" ht="33" x14ac:dyDescent="0.3">
      <c r="A12" s="21" t="s">
        <v>109</v>
      </c>
    </row>
    <row r="13" spans="1:3" ht="16.5" x14ac:dyDescent="0.3">
      <c r="A13" s="21"/>
    </row>
    <row r="14" spans="1:3" ht="17.25" x14ac:dyDescent="0.35">
      <c r="A14" s="85" t="s">
        <v>108</v>
      </c>
    </row>
    <row r="15" spans="1:3" ht="17.25" customHeight="1" x14ac:dyDescent="0.3">
      <c r="A15" s="21" t="s">
        <v>107</v>
      </c>
    </row>
    <row r="16" spans="1:3" ht="16.5" x14ac:dyDescent="0.3">
      <c r="A16" s="21"/>
    </row>
    <row r="17" spans="1:1" ht="17.25" x14ac:dyDescent="0.35">
      <c r="A17" s="85" t="s">
        <v>106</v>
      </c>
    </row>
    <row r="18" spans="1:1" ht="49.5" x14ac:dyDescent="0.3">
      <c r="A18" s="21" t="s">
        <v>105</v>
      </c>
    </row>
    <row r="19" spans="1:1" ht="16.5" x14ac:dyDescent="0.3">
      <c r="A19" s="21"/>
    </row>
    <row r="20" spans="1:1" ht="17.25" x14ac:dyDescent="0.35">
      <c r="A20" s="85" t="s">
        <v>104</v>
      </c>
    </row>
    <row r="21" spans="1:1" ht="17.25" x14ac:dyDescent="0.35">
      <c r="A21" s="22" t="s">
        <v>258</v>
      </c>
    </row>
    <row r="22" spans="1:1" ht="16.5" x14ac:dyDescent="0.3">
      <c r="A22" s="21"/>
    </row>
    <row r="23" spans="1:1" ht="16.5" x14ac:dyDescent="0.3">
      <c r="A23" s="21"/>
    </row>
    <row r="24" spans="1:1" ht="16.5" x14ac:dyDescent="0.3">
      <c r="A24" s="21"/>
    </row>
    <row r="25" spans="1:1" ht="16.5" x14ac:dyDescent="0.3">
      <c r="A25" s="21"/>
    </row>
    <row r="26" spans="1:1" ht="16.5" x14ac:dyDescent="0.3">
      <c r="A26" s="21"/>
    </row>
    <row r="27" spans="1:1" ht="16.5" x14ac:dyDescent="0.3">
      <c r="A27" s="21"/>
    </row>
    <row r="28" spans="1:1" ht="16.5" x14ac:dyDescent="0.3">
      <c r="A28" s="21"/>
    </row>
    <row r="29" spans="1:1" ht="16.5" x14ac:dyDescent="0.3">
      <c r="A29" s="21"/>
    </row>
    <row r="30" spans="1:1" ht="16.5" x14ac:dyDescent="0.3">
      <c r="A30" s="21"/>
    </row>
    <row r="31" spans="1:1" ht="16.5" x14ac:dyDescent="0.3">
      <c r="A31" s="21"/>
    </row>
    <row r="32" spans="1:1" ht="16.5" x14ac:dyDescent="0.3">
      <c r="A32" s="21"/>
    </row>
    <row r="33" spans="1:1" ht="16.5" x14ac:dyDescent="0.3">
      <c r="A33" s="21"/>
    </row>
    <row r="34" spans="1:1" ht="16.5" x14ac:dyDescent="0.3">
      <c r="A34" s="21"/>
    </row>
    <row r="35" spans="1:1" ht="16.5" x14ac:dyDescent="0.3">
      <c r="A35" s="23"/>
    </row>
    <row r="36" spans="1:1" ht="16.5" x14ac:dyDescent="0.3">
      <c r="A36" s="23"/>
    </row>
    <row r="37" spans="1:1" ht="16.5" x14ac:dyDescent="0.3">
      <c r="A37" s="23"/>
    </row>
    <row r="38" spans="1:1" ht="16.5" x14ac:dyDescent="0.3">
      <c r="A38" s="23"/>
    </row>
  </sheetData>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JumpCustomer">
                <anchor moveWithCells="1" sizeWithCells="1">
                  <from>
                    <xdr:col>0</xdr:col>
                    <xdr:colOff>1304925</xdr:colOff>
                    <xdr:row>21</xdr:row>
                    <xdr:rowOff>161925</xdr:rowOff>
                  </from>
                  <to>
                    <xdr:col>0</xdr:col>
                    <xdr:colOff>3419475</xdr:colOff>
                    <xdr:row>23</xdr:row>
                    <xdr:rowOff>190500</xdr:rowOff>
                  </to>
                </anchor>
              </controlPr>
            </control>
          </mc:Choice>
        </mc:AlternateContent>
        <mc:AlternateContent xmlns:mc="http://schemas.openxmlformats.org/markup-compatibility/2006">
          <mc:Choice Requires="x14">
            <control shapeId="1026" r:id="rId6" name="Button 2">
              <controlPr defaultSize="0" print="0" autoFill="0" autoPict="0" macro="[0]!JumpInvoice">
                <anchor moveWithCells="1" sizeWithCells="1">
                  <from>
                    <xdr:col>0</xdr:col>
                    <xdr:colOff>3419475</xdr:colOff>
                    <xdr:row>21</xdr:row>
                    <xdr:rowOff>161925</xdr:rowOff>
                  </from>
                  <to>
                    <xdr:col>0</xdr:col>
                    <xdr:colOff>5534025</xdr:colOff>
                    <xdr:row>23</xdr:row>
                    <xdr:rowOff>190500</xdr:rowOff>
                  </to>
                </anchor>
              </controlPr>
            </control>
          </mc:Choice>
        </mc:AlternateContent>
        <mc:AlternateContent xmlns:mc="http://schemas.openxmlformats.org/markup-compatibility/2006">
          <mc:Choice Requires="x14">
            <control shapeId="1027" r:id="rId7" name="Button 3">
              <controlPr defaultSize="0" print="0" autoFill="0" autoPict="0" macro="[0]!JumpProducts">
                <anchor moveWithCells="1" sizeWithCells="1">
                  <from>
                    <xdr:col>0</xdr:col>
                    <xdr:colOff>5553075</xdr:colOff>
                    <xdr:row>21</xdr:row>
                    <xdr:rowOff>161925</xdr:rowOff>
                  </from>
                  <to>
                    <xdr:col>0</xdr:col>
                    <xdr:colOff>7667625</xdr:colOff>
                    <xdr:row>23</xdr:row>
                    <xdr:rowOff>190500</xdr:rowOff>
                  </to>
                </anchor>
              </controlPr>
            </control>
          </mc:Choice>
        </mc:AlternateContent>
        <mc:AlternateContent xmlns:mc="http://schemas.openxmlformats.org/markup-compatibility/2006">
          <mc:Choice Requires="x14">
            <control shapeId="1028" r:id="rId8" name="Button 4">
              <controlPr defaultSize="0" print="0" autoFill="0" autoPict="0" macro="[0]!JumpInventory">
                <anchor moveWithCells="1" sizeWithCells="1">
                  <from>
                    <xdr:col>0</xdr:col>
                    <xdr:colOff>1304925</xdr:colOff>
                    <xdr:row>24</xdr:row>
                    <xdr:rowOff>161925</xdr:rowOff>
                  </from>
                  <to>
                    <xdr:col>0</xdr:col>
                    <xdr:colOff>3419475</xdr:colOff>
                    <xdr:row>27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JumpEmployees">
                <anchor moveWithCells="1" sizeWithCells="1">
                  <from>
                    <xdr:col>0</xdr:col>
                    <xdr:colOff>3429000</xdr:colOff>
                    <xdr:row>24</xdr:row>
                    <xdr:rowOff>161925</xdr:rowOff>
                  </from>
                  <to>
                    <xdr:col>0</xdr:col>
                    <xdr:colOff>5543550</xdr:colOff>
                    <xdr:row>27</xdr:row>
                    <xdr:rowOff>0</xdr:rowOff>
                  </to>
                </anchor>
              </controlPr>
            </control>
          </mc:Choice>
        </mc:AlternateContent>
        <mc:AlternateContent xmlns:mc="http://schemas.openxmlformats.org/markup-compatibility/2006">
          <mc:Choice Requires="x14">
            <control shapeId="1030" r:id="rId10" name="Button 6">
              <controlPr defaultSize="0" print="0" autoFill="0" autoPict="0" macro="[0]!JumpSuppliers">
                <anchor moveWithCells="1" sizeWithCells="1">
                  <from>
                    <xdr:col>0</xdr:col>
                    <xdr:colOff>5553075</xdr:colOff>
                    <xdr:row>24</xdr:row>
                    <xdr:rowOff>161925</xdr:rowOff>
                  </from>
                  <to>
                    <xdr:col>0</xdr:col>
                    <xdr:colOff>7667625</xdr:colOff>
                    <xdr:row>27</xdr:row>
                    <xdr:rowOff>0</xdr:rowOff>
                  </to>
                </anchor>
              </controlPr>
            </control>
          </mc:Choice>
        </mc:AlternateContent>
        <mc:AlternateContent xmlns:mc="http://schemas.openxmlformats.org/markup-compatibility/2006">
          <mc:Choice Requires="x14">
            <control shapeId="1031" r:id="rId11" name="Button 7">
              <controlPr defaultSize="0" print="0" autoFill="0" autoPict="0" macro="[0]!JumpTransactions">
                <anchor moveWithCells="1" sizeWithCells="1">
                  <from>
                    <xdr:col>0</xdr:col>
                    <xdr:colOff>3438525</xdr:colOff>
                    <xdr:row>27</xdr:row>
                    <xdr:rowOff>142875</xdr:rowOff>
                  </from>
                  <to>
                    <xdr:col>0</xdr:col>
                    <xdr:colOff>5553075</xdr:colOff>
                    <xdr:row>29</xdr:row>
                    <xdr:rowOff>180975</xdr:rowOff>
                  </to>
                </anchor>
              </controlPr>
            </control>
          </mc:Choice>
        </mc:AlternateContent>
        <mc:AlternateContent xmlns:mc="http://schemas.openxmlformats.org/markup-compatibility/2006">
          <mc:Choice Requires="x14">
            <control shapeId="1032" r:id="rId12" name="Button 8">
              <controlPr defaultSize="0" print="0" autoFill="0" autoPict="0" macro="[0]!SaveAllasPDF">
                <anchor moveWithCells="1" sizeWithCells="1">
                  <from>
                    <xdr:col>0</xdr:col>
                    <xdr:colOff>2867025</xdr:colOff>
                    <xdr:row>30</xdr:row>
                    <xdr:rowOff>161925</xdr:rowOff>
                  </from>
                  <to>
                    <xdr:col>0</xdr:col>
                    <xdr:colOff>4333875</xdr:colOff>
                    <xdr:row>32</xdr:row>
                    <xdr:rowOff>28575</xdr:rowOff>
                  </to>
                </anchor>
              </controlPr>
            </control>
          </mc:Choice>
        </mc:AlternateContent>
        <mc:AlternateContent xmlns:mc="http://schemas.openxmlformats.org/markup-compatibility/2006">
          <mc:Choice Requires="x14">
            <control shapeId="1033" r:id="rId13" name="Button 9">
              <controlPr defaultSize="0" print="0" autoFill="0" autoPict="0" macro="[0]!SaveAllasPDFwithSeparateFiles">
                <anchor moveWithCells="1" sizeWithCells="1">
                  <from>
                    <xdr:col>0</xdr:col>
                    <xdr:colOff>4495800</xdr:colOff>
                    <xdr:row>30</xdr:row>
                    <xdr:rowOff>142875</xdr:rowOff>
                  </from>
                  <to>
                    <xdr:col>0</xdr:col>
                    <xdr:colOff>6238875</xdr:colOff>
                    <xdr:row>32</xdr:row>
                    <xdr:rowOff>19050</xdr:rowOff>
                  </to>
                </anchor>
              </controlPr>
            </control>
          </mc:Choice>
        </mc:AlternateContent>
        <mc:AlternateContent xmlns:mc="http://schemas.openxmlformats.org/markup-compatibility/2006">
          <mc:Choice Requires="x14">
            <control shapeId="1034" r:id="rId14" name="Button 10">
              <controlPr defaultSize="0" print="0" autoFill="0" autoPict="0" macro="[0]!ProtectAllSheets">
                <anchor moveWithCells="1" sizeWithCells="1">
                  <from>
                    <xdr:col>0</xdr:col>
                    <xdr:colOff>6400800</xdr:colOff>
                    <xdr:row>30</xdr:row>
                    <xdr:rowOff>152400</xdr:rowOff>
                  </from>
                  <to>
                    <xdr:col>0</xdr:col>
                    <xdr:colOff>7705725</xdr:colOff>
                    <xdr:row>32</xdr:row>
                    <xdr:rowOff>19050</xdr:rowOff>
                  </to>
                </anchor>
              </controlPr>
            </control>
          </mc:Choice>
        </mc:AlternateContent>
        <mc:AlternateContent xmlns:mc="http://schemas.openxmlformats.org/markup-compatibility/2006">
          <mc:Choice Requires="x14">
            <control shapeId="1035" r:id="rId15" name="Button 11">
              <controlPr defaultSize="0" print="0" autoFill="0" autoPict="0" macro="[0]!UnProtectAllSheets">
                <anchor moveWithCells="1" sizeWithCells="1">
                  <from>
                    <xdr:col>0</xdr:col>
                    <xdr:colOff>1343025</xdr:colOff>
                    <xdr:row>30</xdr:row>
                    <xdr:rowOff>171450</xdr:rowOff>
                  </from>
                  <to>
                    <xdr:col>0</xdr:col>
                    <xdr:colOff>2733675</xdr:colOff>
                    <xdr:row>32</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1522C-E532-48DD-9717-A398E7EADA30}">
  <sheetPr codeName="Sheet3"/>
  <dimension ref="A1:X40"/>
  <sheetViews>
    <sheetView zoomScaleNormal="100" workbookViewId="0"/>
  </sheetViews>
  <sheetFormatPr defaultColWidth="8.85546875" defaultRowHeight="15" x14ac:dyDescent="0.25"/>
  <cols>
    <col min="1" max="1" width="15.42578125" style="19" bestFit="1" customWidth="1"/>
    <col min="2" max="2" width="15.42578125" style="19" customWidth="1"/>
    <col min="3" max="3" width="18.140625" style="19" customWidth="1"/>
    <col min="4" max="4" width="33" style="19" customWidth="1"/>
    <col min="5" max="5" width="42" style="19" customWidth="1"/>
    <col min="6" max="6" width="19.85546875" style="19" bestFit="1" customWidth="1"/>
    <col min="7" max="7" width="13.85546875" style="19" bestFit="1" customWidth="1"/>
    <col min="8" max="8" width="26.85546875" style="19" bestFit="1" customWidth="1"/>
    <col min="9" max="9" width="21.140625" style="19" customWidth="1"/>
    <col min="10" max="10" width="17.85546875" style="19" customWidth="1"/>
    <col min="11" max="11" width="24.42578125" style="19" customWidth="1"/>
    <col min="12" max="16384" width="8.85546875" style="19"/>
  </cols>
  <sheetData>
    <row r="1" spans="1:24" ht="16.5" x14ac:dyDescent="0.3">
      <c r="A1" s="13"/>
      <c r="B1" s="13"/>
      <c r="C1" s="86" t="s">
        <v>123</v>
      </c>
      <c r="D1" s="87"/>
      <c r="E1" s="87"/>
      <c r="F1" s="87"/>
      <c r="G1" s="12"/>
      <c r="H1" s="13"/>
      <c r="I1" s="13"/>
      <c r="J1" s="13"/>
      <c r="K1" s="13"/>
      <c r="L1" s="13"/>
      <c r="M1" s="13"/>
      <c r="N1" s="13"/>
      <c r="O1" s="13"/>
      <c r="P1" s="13"/>
      <c r="Q1" s="13"/>
      <c r="R1" s="13"/>
      <c r="S1" s="13"/>
      <c r="T1" s="13"/>
      <c r="U1" s="13"/>
      <c r="V1" s="1"/>
      <c r="W1" s="1"/>
      <c r="X1" s="1"/>
    </row>
    <row r="2" spans="1:24" ht="16.5" x14ac:dyDescent="0.3">
      <c r="A2" s="13"/>
      <c r="B2" s="13"/>
      <c r="C2" s="87"/>
      <c r="D2" s="87"/>
      <c r="E2" s="87"/>
      <c r="F2" s="87"/>
      <c r="G2" s="13"/>
      <c r="H2" s="13"/>
      <c r="I2" s="13"/>
      <c r="J2" s="13"/>
      <c r="K2" s="13"/>
      <c r="L2" s="13"/>
      <c r="M2" s="13"/>
      <c r="N2" s="13"/>
      <c r="O2" s="13"/>
      <c r="P2" s="13"/>
      <c r="Q2" s="13"/>
      <c r="R2" s="13"/>
      <c r="S2" s="13"/>
      <c r="T2" s="13"/>
      <c r="U2" s="13"/>
      <c r="V2" s="1"/>
      <c r="W2" s="1"/>
      <c r="X2" s="1"/>
    </row>
    <row r="3" spans="1:24" ht="16.5" x14ac:dyDescent="0.3">
      <c r="A3" s="13"/>
      <c r="B3" s="13"/>
      <c r="C3" s="88"/>
      <c r="D3" s="88"/>
      <c r="E3" s="88"/>
      <c r="F3" s="88"/>
      <c r="G3" s="13"/>
      <c r="H3" s="13"/>
      <c r="I3" s="13"/>
      <c r="J3" s="13"/>
      <c r="K3" s="13"/>
      <c r="L3" s="13"/>
      <c r="M3" s="13"/>
      <c r="N3" s="13"/>
      <c r="O3" s="13"/>
      <c r="P3" s="13"/>
      <c r="Q3" s="13"/>
      <c r="R3" s="13"/>
      <c r="S3" s="13"/>
      <c r="T3" s="13"/>
      <c r="U3" s="13"/>
      <c r="V3" s="1"/>
      <c r="W3" s="1"/>
      <c r="X3" s="1"/>
    </row>
    <row r="4" spans="1:24" ht="17.25" x14ac:dyDescent="0.35">
      <c r="A4" s="5" t="s">
        <v>0</v>
      </c>
      <c r="B4" s="4" t="s">
        <v>1</v>
      </c>
      <c r="C4" s="4" t="s">
        <v>4</v>
      </c>
      <c r="D4" s="4" t="s">
        <v>33</v>
      </c>
      <c r="E4" s="4" t="s">
        <v>34</v>
      </c>
      <c r="F4" s="4" t="s">
        <v>35</v>
      </c>
      <c r="G4" s="4" t="s">
        <v>9</v>
      </c>
      <c r="H4" s="4" t="s">
        <v>247</v>
      </c>
      <c r="L4" s="23"/>
      <c r="M4" s="23"/>
      <c r="N4" s="23"/>
      <c r="O4" s="23"/>
      <c r="P4" s="23"/>
      <c r="Q4" s="23"/>
      <c r="R4" s="23"/>
      <c r="S4" s="23"/>
      <c r="T4" s="23"/>
      <c r="U4" s="23"/>
    </row>
    <row r="5" spans="1:24" ht="16.5" x14ac:dyDescent="0.3">
      <c r="A5" s="24" t="s">
        <v>20</v>
      </c>
      <c r="B5" s="25" t="s">
        <v>21</v>
      </c>
      <c r="C5" s="25">
        <v>8976351457</v>
      </c>
      <c r="D5" s="18" t="s">
        <v>248</v>
      </c>
      <c r="E5" s="25" t="s">
        <v>249</v>
      </c>
      <c r="F5" s="26">
        <v>44839</v>
      </c>
      <c r="G5" s="27">
        <v>36863</v>
      </c>
      <c r="H5" s="24" t="s">
        <v>250</v>
      </c>
      <c r="L5" s="23"/>
      <c r="M5" s="23"/>
      <c r="N5" s="23"/>
      <c r="O5" s="23"/>
      <c r="P5" s="23"/>
      <c r="Q5" s="23"/>
      <c r="R5" s="23"/>
      <c r="S5" s="23"/>
      <c r="T5" s="23"/>
      <c r="U5" s="23"/>
    </row>
    <row r="6" spans="1:24" ht="16.5" x14ac:dyDescent="0.3">
      <c r="A6" s="28" t="s">
        <v>128</v>
      </c>
      <c r="B6" s="29" t="s">
        <v>127</v>
      </c>
      <c r="C6" s="29" t="s">
        <v>129</v>
      </c>
      <c r="D6" s="16" t="s">
        <v>130</v>
      </c>
      <c r="E6" s="29" t="s">
        <v>131</v>
      </c>
      <c r="F6" s="30">
        <v>44878</v>
      </c>
      <c r="G6" s="31">
        <v>36863</v>
      </c>
      <c r="H6" s="32" t="str">
        <f t="shared" ref="H6:H25" ca="1" si="0">IF(AND(DAY(TODAY())=DAY(G6),MONTH(TODAY())=MONTH(G6)), "Happy Birthday! 10% Discount.", "Wait.")</f>
        <v>Wait.</v>
      </c>
      <c r="L6" s="23"/>
      <c r="M6" s="23"/>
      <c r="N6" s="23"/>
      <c r="O6" s="23"/>
      <c r="P6" s="23"/>
      <c r="Q6" s="23"/>
      <c r="R6" s="23"/>
      <c r="S6" s="23"/>
      <c r="T6" s="23"/>
      <c r="U6" s="23"/>
    </row>
    <row r="7" spans="1:24" ht="16.5" x14ac:dyDescent="0.3">
      <c r="A7" s="28" t="s">
        <v>133</v>
      </c>
      <c r="B7" s="29" t="s">
        <v>132</v>
      </c>
      <c r="C7" s="29" t="s">
        <v>134</v>
      </c>
      <c r="D7" s="17" t="s">
        <v>135</v>
      </c>
      <c r="E7" s="29" t="s">
        <v>136</v>
      </c>
      <c r="F7" s="30">
        <v>44561</v>
      </c>
      <c r="G7" s="31">
        <v>37081</v>
      </c>
      <c r="H7" s="32" t="str">
        <f t="shared" ca="1" si="0"/>
        <v>Wait.</v>
      </c>
      <c r="L7" s="23"/>
      <c r="M7" s="23"/>
      <c r="N7" s="23"/>
      <c r="O7" s="23"/>
      <c r="P7" s="23"/>
      <c r="Q7" s="23"/>
      <c r="R7" s="23"/>
      <c r="S7" s="23"/>
      <c r="T7" s="23"/>
      <c r="U7" s="23"/>
    </row>
    <row r="8" spans="1:24" ht="16.5" x14ac:dyDescent="0.3">
      <c r="A8" s="28" t="s">
        <v>138</v>
      </c>
      <c r="B8" s="29" t="s">
        <v>137</v>
      </c>
      <c r="C8" s="29" t="s">
        <v>139</v>
      </c>
      <c r="D8" s="29" t="str">
        <f t="shared" ref="D8:D25" si="1">_xlfn.CONCAT(A8,".",B8,"@csumb.edu")</f>
        <v>Parsons.John@csumb.edu</v>
      </c>
      <c r="E8" s="29" t="s">
        <v>140</v>
      </c>
      <c r="F8" s="30">
        <v>44750</v>
      </c>
      <c r="G8" s="31">
        <v>35315</v>
      </c>
      <c r="H8" s="32" t="str">
        <f t="shared" ca="1" si="0"/>
        <v>Wait.</v>
      </c>
      <c r="L8" s="23"/>
      <c r="M8" s="23"/>
      <c r="N8" s="23"/>
      <c r="O8" s="23"/>
      <c r="P8" s="23"/>
      <c r="Q8" s="23"/>
      <c r="R8" s="23"/>
      <c r="S8" s="23"/>
      <c r="T8" s="23"/>
      <c r="U8" s="23"/>
    </row>
    <row r="9" spans="1:24" ht="16.5" x14ac:dyDescent="0.3">
      <c r="A9" s="28" t="s">
        <v>142</v>
      </c>
      <c r="B9" s="29" t="s">
        <v>141</v>
      </c>
      <c r="C9" s="33">
        <v>8315102296</v>
      </c>
      <c r="D9" s="29" t="str">
        <f t="shared" si="1"/>
        <v>Cline.Jaden@csumb.edu</v>
      </c>
      <c r="E9" s="29" t="s">
        <v>143</v>
      </c>
      <c r="F9" s="30">
        <v>44113</v>
      </c>
      <c r="G9" s="31">
        <v>36693</v>
      </c>
      <c r="H9" s="32" t="str">
        <f t="shared" ca="1" si="0"/>
        <v>Wait.</v>
      </c>
      <c r="L9" s="23"/>
      <c r="M9" s="23"/>
      <c r="N9" s="23"/>
      <c r="O9" s="23"/>
      <c r="P9" s="23"/>
      <c r="Q9" s="23"/>
      <c r="R9" s="23"/>
      <c r="S9" s="23"/>
      <c r="T9" s="23"/>
      <c r="U9" s="23"/>
    </row>
    <row r="10" spans="1:24" ht="16.5" x14ac:dyDescent="0.3">
      <c r="A10" s="28" t="s">
        <v>145</v>
      </c>
      <c r="B10" s="29" t="s">
        <v>144</v>
      </c>
      <c r="C10" s="29" t="s">
        <v>146</v>
      </c>
      <c r="D10" s="29" t="str">
        <f t="shared" si="1"/>
        <v>Stevens.Anthony@csumb.edu</v>
      </c>
      <c r="E10" s="29" t="s">
        <v>147</v>
      </c>
      <c r="F10" s="30">
        <v>44211</v>
      </c>
      <c r="G10" s="31">
        <v>37327</v>
      </c>
      <c r="H10" s="11" t="str">
        <f t="shared" ca="1" si="0"/>
        <v>Wait.</v>
      </c>
      <c r="L10" s="23"/>
      <c r="M10" s="23"/>
      <c r="N10" s="23"/>
      <c r="O10" s="23"/>
      <c r="P10" s="23"/>
      <c r="Q10" s="23"/>
      <c r="R10" s="23"/>
      <c r="S10" s="23"/>
      <c r="T10" s="23"/>
      <c r="U10" s="23"/>
    </row>
    <row r="11" spans="1:24" ht="16.5" x14ac:dyDescent="0.3">
      <c r="A11" s="28" t="s">
        <v>36</v>
      </c>
      <c r="B11" s="29" t="s">
        <v>37</v>
      </c>
      <c r="C11" s="33">
        <v>8316493665</v>
      </c>
      <c r="D11" s="29" t="str">
        <f t="shared" si="1"/>
        <v>Kendall.Everett@csumb.edu</v>
      </c>
      <c r="E11" s="29" t="s">
        <v>148</v>
      </c>
      <c r="F11" s="30">
        <v>44715</v>
      </c>
      <c r="G11" s="31">
        <v>36726</v>
      </c>
      <c r="H11" s="32" t="str">
        <f t="shared" ca="1" si="0"/>
        <v>Wait.</v>
      </c>
      <c r="L11" s="23"/>
      <c r="M11" s="23"/>
      <c r="N11" s="23"/>
      <c r="O11" s="23"/>
      <c r="P11" s="23"/>
      <c r="Q11" s="23"/>
      <c r="R11" s="23"/>
      <c r="S11" s="23"/>
      <c r="T11" s="23"/>
      <c r="U11" s="23"/>
    </row>
    <row r="12" spans="1:24" ht="16.5" x14ac:dyDescent="0.3">
      <c r="A12" s="28" t="s">
        <v>39</v>
      </c>
      <c r="B12" s="29" t="s">
        <v>38</v>
      </c>
      <c r="C12" s="33">
        <v>8313421668</v>
      </c>
      <c r="D12" s="29" t="str">
        <f t="shared" si="1"/>
        <v>Tasker.Otis@csumb.edu</v>
      </c>
      <c r="E12" s="29" t="s">
        <v>149</v>
      </c>
      <c r="F12" s="30">
        <v>44148</v>
      </c>
      <c r="G12" s="31">
        <v>36157</v>
      </c>
      <c r="H12" s="32" t="str">
        <f t="shared" ca="1" si="0"/>
        <v>Wait.</v>
      </c>
      <c r="L12" s="23"/>
      <c r="M12" s="23"/>
      <c r="N12" s="23"/>
      <c r="O12" s="23"/>
      <c r="P12" s="23"/>
      <c r="Q12" s="23"/>
      <c r="R12" s="23"/>
      <c r="S12" s="23"/>
      <c r="T12" s="23"/>
      <c r="U12" s="23"/>
    </row>
    <row r="13" spans="1:24" ht="16.5" x14ac:dyDescent="0.3">
      <c r="A13" s="28" t="s">
        <v>41</v>
      </c>
      <c r="B13" s="29" t="s">
        <v>40</v>
      </c>
      <c r="C13" s="33">
        <v>8318513880</v>
      </c>
      <c r="D13" s="29" t="str">
        <f t="shared" si="1"/>
        <v>Bennet.Boyd@csumb.edu</v>
      </c>
      <c r="E13" s="29" t="s">
        <v>150</v>
      </c>
      <c r="F13" s="30">
        <v>44259</v>
      </c>
      <c r="G13" s="31">
        <v>35587</v>
      </c>
      <c r="H13" s="32" t="str">
        <f t="shared" ca="1" si="0"/>
        <v>Wait.</v>
      </c>
      <c r="L13" s="23"/>
      <c r="M13" s="23"/>
      <c r="N13" s="23"/>
      <c r="O13" s="23"/>
      <c r="P13" s="23"/>
      <c r="Q13" s="23"/>
      <c r="R13" s="23"/>
      <c r="S13" s="23"/>
      <c r="T13" s="23"/>
      <c r="U13" s="23"/>
    </row>
    <row r="14" spans="1:24" ht="16.5" x14ac:dyDescent="0.3">
      <c r="A14" s="28" t="s">
        <v>43</v>
      </c>
      <c r="B14" s="29" t="s">
        <v>42</v>
      </c>
      <c r="C14" s="33">
        <v>8316450815</v>
      </c>
      <c r="D14" s="29" t="str">
        <f t="shared" si="1"/>
        <v>Emerson.Danny@csumb.edu</v>
      </c>
      <c r="E14" s="29" t="s">
        <v>151</v>
      </c>
      <c r="F14" s="30">
        <v>43953</v>
      </c>
      <c r="G14" s="31">
        <v>36277</v>
      </c>
      <c r="H14" s="32" t="str">
        <f t="shared" ca="1" si="0"/>
        <v>Wait.</v>
      </c>
      <c r="L14" s="23"/>
      <c r="M14" s="23"/>
      <c r="N14" s="23"/>
      <c r="O14" s="23"/>
      <c r="P14" s="23"/>
      <c r="Q14" s="23"/>
      <c r="R14" s="23"/>
      <c r="S14" s="23"/>
      <c r="T14" s="23"/>
      <c r="U14" s="23"/>
    </row>
    <row r="15" spans="1:24" ht="16.5" x14ac:dyDescent="0.3">
      <c r="A15" s="28" t="s">
        <v>45</v>
      </c>
      <c r="B15" s="29" t="s">
        <v>44</v>
      </c>
      <c r="C15" s="33">
        <v>8317353561</v>
      </c>
      <c r="D15" s="29" t="str">
        <f t="shared" si="1"/>
        <v>Minett.Taylor@csumb.edu</v>
      </c>
      <c r="E15" s="29" t="s">
        <v>152</v>
      </c>
      <c r="F15" s="30">
        <v>44362</v>
      </c>
      <c r="G15" s="31">
        <v>36669</v>
      </c>
      <c r="H15" s="32" t="str">
        <f t="shared" ca="1" si="0"/>
        <v>Wait.</v>
      </c>
      <c r="L15" s="23"/>
      <c r="M15" s="23"/>
      <c r="N15" s="23"/>
      <c r="O15" s="23"/>
      <c r="P15" s="23"/>
      <c r="Q15" s="23"/>
      <c r="R15" s="23"/>
      <c r="S15" s="23"/>
      <c r="T15" s="23"/>
      <c r="U15" s="23"/>
    </row>
    <row r="16" spans="1:24" ht="16.5" x14ac:dyDescent="0.3">
      <c r="A16" s="28" t="s">
        <v>46</v>
      </c>
      <c r="B16" s="29" t="s">
        <v>47</v>
      </c>
      <c r="C16" s="33">
        <v>8315561780</v>
      </c>
      <c r="D16" s="29" t="str">
        <f t="shared" si="1"/>
        <v>Vinal.Sydney@csumb.edu</v>
      </c>
      <c r="E16" s="29" t="s">
        <v>153</v>
      </c>
      <c r="F16" s="30">
        <v>44785</v>
      </c>
      <c r="G16" s="31">
        <v>37127</v>
      </c>
      <c r="H16" s="32" t="str">
        <f t="shared" ca="1" si="0"/>
        <v>Wait.</v>
      </c>
      <c r="L16" s="23"/>
      <c r="M16" s="23"/>
      <c r="N16" s="23"/>
      <c r="O16" s="23"/>
      <c r="P16" s="23"/>
      <c r="Q16" s="23"/>
      <c r="R16" s="23"/>
      <c r="S16" s="23"/>
      <c r="T16" s="23"/>
      <c r="U16" s="23"/>
    </row>
    <row r="17" spans="1:21" ht="16.5" x14ac:dyDescent="0.3">
      <c r="A17" s="28" t="s">
        <v>155</v>
      </c>
      <c r="B17" s="29" t="s">
        <v>154</v>
      </c>
      <c r="C17" s="33">
        <v>8313811771</v>
      </c>
      <c r="D17" s="29" t="str">
        <f t="shared" si="1"/>
        <v>O'Connor.Marshall@csumb.edu</v>
      </c>
      <c r="E17" s="29" t="s">
        <v>156</v>
      </c>
      <c r="F17" s="30">
        <v>44348</v>
      </c>
      <c r="G17" s="31">
        <v>36530</v>
      </c>
      <c r="H17" s="32" t="str">
        <f t="shared" ca="1" si="0"/>
        <v>Wait.</v>
      </c>
      <c r="L17" s="23"/>
      <c r="M17" s="23"/>
      <c r="N17" s="23"/>
      <c r="O17" s="23"/>
      <c r="P17" s="23"/>
      <c r="Q17" s="23"/>
      <c r="R17" s="23"/>
      <c r="S17" s="23"/>
      <c r="T17" s="23"/>
      <c r="U17" s="23"/>
    </row>
    <row r="18" spans="1:21" ht="16.5" x14ac:dyDescent="0.3">
      <c r="A18" s="28" t="s">
        <v>48</v>
      </c>
      <c r="B18" s="29" t="s">
        <v>49</v>
      </c>
      <c r="C18" s="33">
        <v>8315218694</v>
      </c>
      <c r="D18" s="29" t="str">
        <f t="shared" si="1"/>
        <v>Shannon.Bonney@csumb.edu</v>
      </c>
      <c r="E18" s="29" t="s">
        <v>157</v>
      </c>
      <c r="F18" s="30">
        <v>43905</v>
      </c>
      <c r="G18" s="31">
        <v>37207</v>
      </c>
      <c r="H18" s="32" t="str">
        <f t="shared" ca="1" si="0"/>
        <v>Wait.</v>
      </c>
      <c r="L18" s="23"/>
      <c r="M18" s="23"/>
      <c r="N18" s="23"/>
      <c r="O18" s="23"/>
      <c r="P18" s="23"/>
      <c r="Q18" s="23"/>
      <c r="R18" s="23"/>
      <c r="S18" s="23"/>
      <c r="T18" s="23"/>
      <c r="U18" s="23"/>
    </row>
    <row r="19" spans="1:21" ht="16.5" x14ac:dyDescent="0.3">
      <c r="A19" s="28" t="s">
        <v>50</v>
      </c>
      <c r="B19" s="29" t="s">
        <v>51</v>
      </c>
      <c r="C19" s="33">
        <v>8318158471</v>
      </c>
      <c r="D19" s="29" t="str">
        <f t="shared" si="1"/>
        <v>Laura.Mason@csumb.edu</v>
      </c>
      <c r="E19" s="29" t="s">
        <v>158</v>
      </c>
      <c r="F19" s="30">
        <v>44331</v>
      </c>
      <c r="G19" s="31">
        <v>34899</v>
      </c>
      <c r="H19" s="32" t="str">
        <f t="shared" ca="1" si="0"/>
        <v>Wait.</v>
      </c>
      <c r="L19" s="23"/>
      <c r="M19" s="23"/>
      <c r="N19" s="23"/>
      <c r="O19" s="23"/>
      <c r="P19" s="23"/>
      <c r="Q19" s="23"/>
      <c r="R19" s="23"/>
      <c r="S19" s="23"/>
      <c r="T19" s="23"/>
      <c r="U19" s="23"/>
    </row>
    <row r="20" spans="1:21" ht="16.5" x14ac:dyDescent="0.3">
      <c r="A20" s="28" t="s">
        <v>53</v>
      </c>
      <c r="B20" s="29" t="s">
        <v>52</v>
      </c>
      <c r="C20" s="33">
        <v>8318272727</v>
      </c>
      <c r="D20" s="29" t="str">
        <f t="shared" si="1"/>
        <v>Easom.Perry@csumb.edu</v>
      </c>
      <c r="E20" s="29" t="s">
        <v>159</v>
      </c>
      <c r="F20" s="30">
        <v>44561</v>
      </c>
      <c r="G20" s="31">
        <v>33735</v>
      </c>
      <c r="H20" s="32" t="str">
        <f t="shared" ca="1" si="0"/>
        <v>Wait.</v>
      </c>
      <c r="L20" s="23"/>
      <c r="M20" s="23"/>
      <c r="N20" s="23"/>
      <c r="O20" s="23"/>
      <c r="P20" s="23"/>
      <c r="Q20" s="23"/>
      <c r="R20" s="23"/>
      <c r="S20" s="23"/>
      <c r="T20" s="23"/>
      <c r="U20" s="23"/>
    </row>
    <row r="21" spans="1:21" ht="16.5" x14ac:dyDescent="0.3">
      <c r="A21" s="28" t="s">
        <v>55</v>
      </c>
      <c r="B21" s="29" t="s">
        <v>54</v>
      </c>
      <c r="C21" s="33">
        <v>8314155226</v>
      </c>
      <c r="D21" s="29" t="str">
        <f t="shared" si="1"/>
        <v>Vere.Jack@csumb.edu</v>
      </c>
      <c r="E21" s="29" t="s">
        <v>160</v>
      </c>
      <c r="F21" s="30">
        <v>44473</v>
      </c>
      <c r="G21" s="31">
        <v>37314</v>
      </c>
      <c r="H21" s="32" t="str">
        <f t="shared" ca="1" si="0"/>
        <v>Wait.</v>
      </c>
      <c r="I21" s="23"/>
      <c r="J21" s="23"/>
      <c r="K21" s="23"/>
      <c r="L21" s="23"/>
      <c r="M21" s="23"/>
      <c r="N21" s="23"/>
      <c r="O21" s="23"/>
      <c r="P21" s="23"/>
      <c r="Q21" s="23"/>
      <c r="R21" s="23"/>
      <c r="S21" s="23"/>
      <c r="T21" s="23"/>
      <c r="U21" s="23"/>
    </row>
    <row r="22" spans="1:21" ht="16.5" x14ac:dyDescent="0.3">
      <c r="A22" s="28" t="s">
        <v>57</v>
      </c>
      <c r="B22" s="29" t="s">
        <v>56</v>
      </c>
      <c r="C22" s="33">
        <v>8319974397</v>
      </c>
      <c r="D22" s="29" t="str">
        <f t="shared" si="1"/>
        <v>Martin.Wes@csumb.edu</v>
      </c>
      <c r="E22" s="29" t="s">
        <v>161</v>
      </c>
      <c r="F22" s="30">
        <v>44169</v>
      </c>
      <c r="G22" s="31">
        <v>37246</v>
      </c>
      <c r="H22" s="32" t="str">
        <f t="shared" ca="1" si="0"/>
        <v>Wait.</v>
      </c>
      <c r="I22" s="23"/>
      <c r="J22" s="23"/>
      <c r="K22" s="23"/>
      <c r="L22" s="23"/>
      <c r="M22" s="23"/>
      <c r="N22" s="23"/>
      <c r="O22" s="23"/>
      <c r="P22" s="23"/>
      <c r="Q22" s="23"/>
      <c r="R22" s="23"/>
      <c r="S22" s="23"/>
      <c r="T22" s="23"/>
      <c r="U22" s="23"/>
    </row>
    <row r="23" spans="1:21" ht="16.5" x14ac:dyDescent="0.3">
      <c r="A23" s="28" t="s">
        <v>162</v>
      </c>
      <c r="B23" s="29" t="s">
        <v>58</v>
      </c>
      <c r="C23" s="33">
        <v>8315653807</v>
      </c>
      <c r="D23" s="29" t="str">
        <f t="shared" si="1"/>
        <v>Jameson.Abbie@csumb.edu</v>
      </c>
      <c r="E23" s="29" t="s">
        <v>163</v>
      </c>
      <c r="F23" s="30">
        <v>44615</v>
      </c>
      <c r="G23" s="31">
        <v>35158</v>
      </c>
      <c r="H23" s="32" t="str">
        <f t="shared" ca="1" si="0"/>
        <v>Wait.</v>
      </c>
      <c r="I23" s="23"/>
      <c r="J23" s="23"/>
      <c r="K23" s="23"/>
      <c r="L23" s="23"/>
      <c r="M23" s="23"/>
      <c r="N23" s="23"/>
      <c r="O23" s="23"/>
      <c r="P23" s="23"/>
      <c r="Q23" s="23"/>
      <c r="R23" s="23"/>
      <c r="S23" s="23"/>
      <c r="T23" s="23"/>
      <c r="U23" s="23"/>
    </row>
    <row r="24" spans="1:21" ht="16.5" x14ac:dyDescent="0.3">
      <c r="A24" s="28" t="s">
        <v>164</v>
      </c>
      <c r="B24" s="29" t="s">
        <v>59</v>
      </c>
      <c r="C24" s="33">
        <v>8317181677</v>
      </c>
      <c r="D24" s="29" t="str">
        <f t="shared" si="1"/>
        <v>May.Barbara@csumb.edu</v>
      </c>
      <c r="E24" s="29" t="s">
        <v>165</v>
      </c>
      <c r="F24" s="30">
        <v>44836</v>
      </c>
      <c r="G24" s="31">
        <v>36676</v>
      </c>
      <c r="H24" s="32" t="str">
        <f t="shared" ca="1" si="0"/>
        <v>Wait.</v>
      </c>
      <c r="I24" s="23"/>
      <c r="J24" s="23"/>
      <c r="K24" s="23"/>
      <c r="L24" s="23"/>
      <c r="M24" s="23"/>
      <c r="N24" s="23"/>
      <c r="O24" s="23"/>
      <c r="P24" s="23"/>
      <c r="Q24" s="23"/>
      <c r="R24" s="23"/>
      <c r="S24" s="23"/>
      <c r="T24" s="23"/>
      <c r="U24" s="23"/>
    </row>
    <row r="25" spans="1:21" ht="16.5" x14ac:dyDescent="0.3">
      <c r="A25" s="28" t="s">
        <v>166</v>
      </c>
      <c r="B25" s="29" t="s">
        <v>60</v>
      </c>
      <c r="C25" s="33">
        <v>8319331604</v>
      </c>
      <c r="D25" s="29" t="str">
        <f t="shared" si="1"/>
        <v>Bernard.Quinn@csumb.edu</v>
      </c>
      <c r="E25" s="29" t="s">
        <v>167</v>
      </c>
      <c r="F25" s="30">
        <v>44467</v>
      </c>
      <c r="G25" s="31">
        <v>36960</v>
      </c>
      <c r="H25" s="32" t="str">
        <f t="shared" ca="1" si="0"/>
        <v>Wait.</v>
      </c>
      <c r="I25" s="23"/>
      <c r="J25" s="23"/>
      <c r="K25" s="23"/>
      <c r="L25" s="23"/>
      <c r="M25" s="23"/>
      <c r="N25" s="23"/>
      <c r="O25" s="23"/>
      <c r="P25" s="23"/>
      <c r="Q25" s="23"/>
      <c r="R25" s="23"/>
      <c r="S25" s="23"/>
      <c r="T25" s="23"/>
      <c r="U25" s="23"/>
    </row>
    <row r="26" spans="1:21" ht="16.5" x14ac:dyDescent="0.3">
      <c r="A26" s="6"/>
      <c r="B26" s="6"/>
      <c r="C26" s="6"/>
      <c r="D26" s="6"/>
      <c r="E26" s="6"/>
      <c r="F26" s="6"/>
      <c r="G26" s="6"/>
      <c r="H26" s="6"/>
      <c r="I26" s="23"/>
      <c r="J26" s="23"/>
      <c r="K26" s="23"/>
      <c r="L26" s="23"/>
      <c r="M26" s="23"/>
      <c r="N26" s="23"/>
      <c r="O26" s="23"/>
      <c r="P26" s="23"/>
      <c r="Q26" s="23"/>
      <c r="R26" s="23"/>
      <c r="S26" s="23"/>
      <c r="T26" s="23"/>
      <c r="U26" s="23"/>
    </row>
    <row r="27" spans="1:21" ht="16.5" x14ac:dyDescent="0.3">
      <c r="A27" s="6"/>
      <c r="B27" s="6"/>
      <c r="C27" s="6"/>
      <c r="D27" s="6"/>
      <c r="E27" s="6"/>
      <c r="F27" s="6"/>
      <c r="G27" s="6"/>
      <c r="H27" s="6"/>
      <c r="I27" s="23"/>
      <c r="J27" s="23"/>
      <c r="K27" s="23"/>
      <c r="L27" s="23"/>
      <c r="M27" s="23"/>
      <c r="N27" s="23"/>
      <c r="O27" s="23"/>
      <c r="P27" s="23"/>
      <c r="Q27" s="23"/>
      <c r="R27" s="23"/>
      <c r="S27" s="23"/>
      <c r="T27" s="23"/>
      <c r="U27" s="23"/>
    </row>
    <row r="28" spans="1:21" ht="16.5" x14ac:dyDescent="0.3">
      <c r="A28" s="6"/>
      <c r="B28" s="6"/>
      <c r="C28" s="6"/>
      <c r="D28" s="6"/>
      <c r="E28" s="6"/>
      <c r="F28" s="6"/>
      <c r="G28" s="6"/>
      <c r="H28" s="6"/>
      <c r="I28" s="23"/>
      <c r="J28" s="23"/>
      <c r="K28" s="23"/>
      <c r="L28" s="23"/>
      <c r="M28" s="23"/>
      <c r="N28" s="23"/>
      <c r="O28" s="23"/>
      <c r="P28" s="23"/>
      <c r="Q28" s="23"/>
      <c r="R28" s="23"/>
      <c r="S28" s="23"/>
      <c r="T28" s="23"/>
      <c r="U28" s="23"/>
    </row>
    <row r="29" spans="1:21" ht="16.5" x14ac:dyDescent="0.3">
      <c r="A29" s="6"/>
      <c r="B29" s="6"/>
      <c r="C29" s="6"/>
      <c r="D29" s="6"/>
      <c r="E29" s="6"/>
      <c r="F29" s="6"/>
      <c r="G29" s="6"/>
      <c r="H29" s="6"/>
      <c r="I29" s="23"/>
      <c r="J29" s="23"/>
      <c r="K29" s="23"/>
      <c r="L29" s="23"/>
      <c r="M29" s="23"/>
      <c r="N29" s="23"/>
      <c r="O29" s="23"/>
      <c r="P29" s="23"/>
      <c r="Q29" s="23"/>
      <c r="R29" s="23"/>
      <c r="S29" s="23"/>
      <c r="T29" s="23"/>
      <c r="U29" s="23"/>
    </row>
    <row r="30" spans="1:21" ht="16.5" x14ac:dyDescent="0.3">
      <c r="A30" s="6"/>
      <c r="B30" s="6"/>
      <c r="C30" s="6"/>
      <c r="D30" s="6"/>
      <c r="E30" s="6"/>
      <c r="F30" s="6"/>
      <c r="G30" s="6"/>
      <c r="H30" s="6"/>
      <c r="I30" s="23"/>
      <c r="J30" s="23"/>
      <c r="K30" s="23"/>
      <c r="L30" s="23"/>
      <c r="M30" s="23"/>
      <c r="N30" s="23"/>
      <c r="O30" s="23"/>
      <c r="P30" s="23"/>
      <c r="Q30" s="23"/>
      <c r="R30" s="23"/>
      <c r="S30" s="23"/>
      <c r="T30" s="23"/>
      <c r="U30" s="23"/>
    </row>
    <row r="31" spans="1:21" ht="16.5" x14ac:dyDescent="0.3">
      <c r="A31" s="6"/>
      <c r="B31" s="6"/>
      <c r="C31" s="6"/>
      <c r="D31" s="6"/>
      <c r="E31" s="6"/>
      <c r="F31" s="6"/>
      <c r="G31" s="6"/>
      <c r="H31" s="6"/>
      <c r="I31" s="23"/>
      <c r="J31" s="23"/>
      <c r="K31" s="23"/>
      <c r="L31" s="23"/>
      <c r="M31" s="23"/>
      <c r="N31" s="23"/>
      <c r="O31" s="23"/>
      <c r="P31" s="23"/>
      <c r="Q31" s="23"/>
      <c r="R31" s="23"/>
      <c r="S31" s="23"/>
      <c r="T31" s="23"/>
      <c r="U31" s="23"/>
    </row>
    <row r="32" spans="1:21" ht="16.5" x14ac:dyDescent="0.3">
      <c r="A32" s="6"/>
      <c r="B32" s="6"/>
      <c r="C32" s="6"/>
      <c r="D32" s="6"/>
      <c r="E32" s="6"/>
      <c r="F32" s="6"/>
      <c r="G32" s="6"/>
      <c r="H32" s="6"/>
      <c r="I32" s="23"/>
      <c r="J32" s="23"/>
      <c r="K32" s="23"/>
      <c r="L32" s="23"/>
      <c r="M32" s="23"/>
      <c r="N32" s="23"/>
      <c r="O32" s="23"/>
      <c r="P32" s="23"/>
      <c r="Q32" s="23"/>
      <c r="R32" s="23"/>
      <c r="S32" s="23"/>
      <c r="T32" s="23"/>
      <c r="U32" s="23"/>
    </row>
    <row r="33" spans="1:21" ht="16.5" x14ac:dyDescent="0.3">
      <c r="A33" s="6"/>
      <c r="B33" s="6"/>
      <c r="C33" s="6"/>
      <c r="D33" s="6"/>
      <c r="E33" s="6"/>
      <c r="F33" s="6"/>
      <c r="G33" s="6"/>
      <c r="H33" s="6"/>
      <c r="I33" s="23"/>
      <c r="J33" s="23"/>
      <c r="K33" s="23"/>
      <c r="L33" s="23"/>
      <c r="M33" s="23"/>
      <c r="N33" s="23"/>
      <c r="O33" s="23"/>
      <c r="P33" s="23"/>
      <c r="Q33" s="23"/>
      <c r="R33" s="23"/>
      <c r="S33" s="23"/>
      <c r="T33" s="23"/>
      <c r="U33" s="23"/>
    </row>
    <row r="34" spans="1:21" ht="16.5" x14ac:dyDescent="0.3">
      <c r="A34" s="6"/>
      <c r="B34" s="6"/>
      <c r="C34" s="6"/>
      <c r="D34" s="6"/>
      <c r="E34" s="6"/>
      <c r="F34" s="6"/>
      <c r="G34" s="6"/>
      <c r="H34" s="6"/>
      <c r="I34" s="23"/>
      <c r="J34" s="23"/>
      <c r="K34" s="23"/>
      <c r="L34" s="23"/>
      <c r="M34" s="23"/>
      <c r="N34" s="23"/>
      <c r="O34" s="23"/>
      <c r="P34" s="23"/>
      <c r="Q34" s="23"/>
      <c r="R34" s="23"/>
      <c r="S34" s="23"/>
      <c r="T34" s="23"/>
      <c r="U34" s="23"/>
    </row>
    <row r="35" spans="1:21" ht="16.5" x14ac:dyDescent="0.3">
      <c r="A35" s="6"/>
      <c r="B35" s="6"/>
      <c r="C35" s="6"/>
      <c r="D35" s="6"/>
      <c r="E35" s="6"/>
      <c r="F35" s="6"/>
      <c r="G35" s="6"/>
      <c r="H35" s="6"/>
      <c r="I35" s="23"/>
      <c r="J35" s="23"/>
      <c r="K35" s="23"/>
      <c r="L35" s="23"/>
      <c r="M35" s="23"/>
      <c r="N35" s="23"/>
      <c r="O35" s="23"/>
      <c r="P35" s="23"/>
      <c r="Q35" s="23"/>
      <c r="R35" s="23"/>
      <c r="S35" s="23"/>
      <c r="T35" s="23"/>
      <c r="U35" s="23"/>
    </row>
    <row r="36" spans="1:21" ht="16.5" x14ac:dyDescent="0.3">
      <c r="A36" s="6"/>
      <c r="B36" s="6"/>
      <c r="C36" s="6"/>
      <c r="D36" s="6"/>
      <c r="E36" s="6"/>
      <c r="F36" s="6"/>
      <c r="G36" s="6"/>
      <c r="H36" s="6"/>
      <c r="I36" s="23"/>
      <c r="J36" s="23"/>
      <c r="K36" s="23"/>
      <c r="L36" s="23"/>
      <c r="M36" s="23"/>
      <c r="N36" s="23"/>
      <c r="O36" s="23"/>
      <c r="P36" s="23"/>
      <c r="Q36" s="23"/>
      <c r="R36" s="23"/>
      <c r="S36" s="23"/>
      <c r="T36" s="23"/>
      <c r="U36" s="23"/>
    </row>
    <row r="37" spans="1:21" ht="16.5" x14ac:dyDescent="0.3">
      <c r="A37" s="6"/>
      <c r="B37" s="6"/>
      <c r="C37" s="6"/>
      <c r="D37" s="6"/>
      <c r="E37" s="6"/>
      <c r="F37" s="6"/>
      <c r="G37" s="6"/>
      <c r="H37" s="6"/>
      <c r="I37" s="23"/>
      <c r="J37" s="23"/>
      <c r="K37" s="23"/>
      <c r="L37" s="23"/>
      <c r="M37" s="23"/>
      <c r="N37" s="23"/>
      <c r="O37" s="23"/>
      <c r="P37" s="23"/>
      <c r="Q37" s="23"/>
      <c r="R37" s="23"/>
      <c r="S37" s="23"/>
      <c r="T37" s="23"/>
      <c r="U37" s="23"/>
    </row>
    <row r="38" spans="1:21" ht="16.5" x14ac:dyDescent="0.3">
      <c r="A38" s="6"/>
      <c r="B38" s="6"/>
      <c r="C38" s="6"/>
      <c r="D38" s="6"/>
      <c r="E38" s="6"/>
      <c r="F38" s="6"/>
      <c r="G38" s="6"/>
      <c r="H38" s="6"/>
      <c r="I38" s="23"/>
      <c r="J38" s="23"/>
      <c r="K38" s="23"/>
      <c r="L38" s="23"/>
      <c r="M38" s="23"/>
      <c r="N38" s="23"/>
      <c r="O38" s="23"/>
      <c r="P38" s="23"/>
      <c r="Q38" s="23"/>
      <c r="R38" s="23"/>
      <c r="S38" s="23"/>
      <c r="T38" s="23"/>
      <c r="U38" s="23"/>
    </row>
    <row r="39" spans="1:21" ht="16.5" x14ac:dyDescent="0.3">
      <c r="A39" s="6"/>
      <c r="B39" s="6"/>
      <c r="C39" s="6"/>
      <c r="D39" s="6"/>
      <c r="E39" s="6"/>
      <c r="F39" s="6"/>
      <c r="G39" s="6"/>
      <c r="H39" s="6"/>
      <c r="I39" s="23"/>
      <c r="J39" s="23"/>
      <c r="K39" s="23"/>
      <c r="L39" s="23"/>
      <c r="M39" s="23"/>
      <c r="N39" s="23"/>
      <c r="O39" s="23"/>
      <c r="P39" s="23"/>
      <c r="Q39" s="23"/>
      <c r="R39" s="23"/>
      <c r="S39" s="23"/>
      <c r="T39" s="23"/>
      <c r="U39" s="23"/>
    </row>
    <row r="40" spans="1:21" x14ac:dyDescent="0.25">
      <c r="A40" s="34"/>
      <c r="B40" s="34"/>
      <c r="C40" s="34"/>
      <c r="D40" s="34"/>
      <c r="E40" s="34"/>
      <c r="F40" s="34"/>
      <c r="G40" s="34"/>
      <c r="H40" s="34"/>
    </row>
  </sheetData>
  <mergeCells count="1">
    <mergeCell ref="C1:F3"/>
  </mergeCells>
  <hyperlinks>
    <hyperlink ref="D6" r:id="rId1" xr:uid="{60C7264E-A476-4619-BEE8-EF0C1A271FB1}"/>
    <hyperlink ref="D7" r:id="rId2" xr:uid="{5DED0C94-6826-496E-A26F-0D95C323F463}"/>
  </hyperlinks>
  <pageMargins left="0.7" right="0.7" top="0.75" bottom="0.75" header="0.3" footer="0.3"/>
  <pageSetup orientation="portrait" r:id="rId3"/>
  <drawing r:id="rId4"/>
  <legacyDrawing r:id="rId5"/>
  <picture r:id="rId6"/>
  <controls>
    <mc:AlternateContent xmlns:mc="http://schemas.openxmlformats.org/markup-compatibility/2006">
      <mc:Choice Requires="x14">
        <control shapeId="2052" r:id="rId7" name="CommandButton1">
          <controlPr defaultSize="0" autoLine="0" r:id="rId8">
            <anchor moveWithCells="1">
              <from>
                <xdr:col>7</xdr:col>
                <xdr:colOff>257175</xdr:colOff>
                <xdr:row>0</xdr:row>
                <xdr:rowOff>123825</xdr:rowOff>
              </from>
              <to>
                <xdr:col>8</xdr:col>
                <xdr:colOff>0</xdr:colOff>
                <xdr:row>2</xdr:row>
                <xdr:rowOff>133350</xdr:rowOff>
              </to>
            </anchor>
          </controlPr>
        </control>
      </mc:Choice>
      <mc:Fallback>
        <control shapeId="2052" r:id="rId7" name="CommandButton1"/>
      </mc:Fallback>
    </mc:AlternateContent>
    <mc:AlternateContent xmlns:mc="http://schemas.openxmlformats.org/markup-compatibility/2006">
      <mc:Choice Requires="x14">
        <control shapeId="2049" r:id="rId9" name="Button 1">
          <controlPr defaultSize="0" print="0" autoFill="0" autoPict="0" macro="[0]!Next_Worksheet">
            <anchor moveWithCells="1" sizeWithCells="1">
              <from>
                <xdr:col>3</xdr:col>
                <xdr:colOff>1533525</xdr:colOff>
                <xdr:row>1</xdr:row>
                <xdr:rowOff>9525</xdr:rowOff>
              </from>
              <to>
                <xdr:col>4</xdr:col>
                <xdr:colOff>352425</xdr:colOff>
                <xdr:row>2</xdr:row>
                <xdr:rowOff>85725</xdr:rowOff>
              </to>
            </anchor>
          </controlPr>
        </control>
      </mc:Choice>
    </mc:AlternateContent>
    <mc:AlternateContent xmlns:mc="http://schemas.openxmlformats.org/markup-compatibility/2006">
      <mc:Choice Requires="x14">
        <control shapeId="2050" r:id="rId10" name="Button 2">
          <controlPr defaultSize="0" print="0" autoFill="0" autoPict="0" macro="[0]!Prev_Worksheet">
            <anchor moveWithCells="1" sizeWithCells="1">
              <from>
                <xdr:col>3</xdr:col>
                <xdr:colOff>752475</xdr:colOff>
                <xdr:row>1</xdr:row>
                <xdr:rowOff>9525</xdr:rowOff>
              </from>
              <to>
                <xdr:col>3</xdr:col>
                <xdr:colOff>1533525</xdr:colOff>
                <xdr:row>2</xdr:row>
                <xdr:rowOff>85725</xdr:rowOff>
              </to>
            </anchor>
          </controlPr>
        </control>
      </mc:Choice>
    </mc:AlternateContent>
  </controls>
  <tableParts count="1">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DAC55-A18A-418D-B814-C8867EF0F2EA}">
  <sheetPr codeName="Sheet7"/>
  <dimension ref="A1:AG60"/>
  <sheetViews>
    <sheetView workbookViewId="0">
      <selection activeCell="P19" sqref="P19"/>
    </sheetView>
  </sheetViews>
  <sheetFormatPr defaultColWidth="8.85546875" defaultRowHeight="15" x14ac:dyDescent="0.25"/>
  <cols>
    <col min="1" max="1" width="22.5703125" style="19" customWidth="1"/>
    <col min="2" max="2" width="29" style="19" bestFit="1" customWidth="1"/>
    <col min="3" max="3" width="8.85546875" style="19"/>
    <col min="4" max="4" width="14" style="19" customWidth="1"/>
    <col min="5" max="5" width="8.140625" style="19" customWidth="1"/>
    <col min="6" max="6" width="8.85546875" style="19"/>
    <col min="7" max="7" width="12" style="19" customWidth="1"/>
    <col min="8" max="16384" width="8.85546875" style="19"/>
  </cols>
  <sheetData>
    <row r="1" spans="1:33" x14ac:dyDescent="0.25">
      <c r="A1" s="1"/>
      <c r="B1" s="1"/>
      <c r="C1" s="86" t="s">
        <v>260</v>
      </c>
      <c r="D1" s="92"/>
      <c r="E1" s="1"/>
      <c r="F1" s="1"/>
      <c r="G1" s="1"/>
      <c r="H1" s="1"/>
      <c r="I1" s="1"/>
      <c r="J1" s="1"/>
      <c r="K1" s="1"/>
      <c r="L1" s="1"/>
      <c r="M1" s="1"/>
      <c r="N1" s="1"/>
      <c r="O1" s="1"/>
      <c r="P1" s="1"/>
      <c r="Q1" s="1"/>
      <c r="R1" s="1"/>
      <c r="S1" s="1"/>
      <c r="T1" s="1"/>
      <c r="U1" s="1"/>
      <c r="V1" s="1"/>
      <c r="W1" s="1"/>
      <c r="X1" s="1"/>
      <c r="Y1" s="1"/>
      <c r="Z1" s="1"/>
      <c r="AA1" s="1"/>
      <c r="AB1" s="1"/>
      <c r="AC1" s="1"/>
      <c r="AD1" s="1"/>
      <c r="AE1" s="1"/>
      <c r="AF1" s="1"/>
      <c r="AG1" s="1"/>
    </row>
    <row r="2" spans="1:33" x14ac:dyDescent="0.25">
      <c r="A2" s="1"/>
      <c r="B2" s="1"/>
      <c r="C2" s="92"/>
      <c r="D2" s="92"/>
      <c r="E2" s="1"/>
      <c r="F2" s="1"/>
      <c r="G2" s="1"/>
      <c r="H2" s="1"/>
      <c r="I2" s="1"/>
      <c r="J2" s="1"/>
      <c r="K2" s="1"/>
      <c r="L2" s="1"/>
      <c r="M2" s="1"/>
      <c r="N2" s="1"/>
      <c r="O2" s="1"/>
      <c r="P2" s="1"/>
      <c r="Q2" s="1"/>
      <c r="R2" s="1"/>
      <c r="S2" s="1"/>
      <c r="T2" s="1"/>
      <c r="U2" s="1"/>
      <c r="V2" s="1"/>
      <c r="W2" s="1"/>
      <c r="X2" s="1"/>
      <c r="Y2" s="1"/>
      <c r="Z2" s="1"/>
      <c r="AA2" s="1"/>
      <c r="AB2" s="1"/>
      <c r="AC2" s="1"/>
      <c r="AD2" s="1"/>
      <c r="AE2" s="1"/>
      <c r="AF2" s="1"/>
      <c r="AG2" s="1"/>
    </row>
    <row r="3" spans="1:33" x14ac:dyDescent="0.25">
      <c r="A3" s="1"/>
      <c r="B3" s="1"/>
      <c r="C3" s="92"/>
      <c r="D3" s="92"/>
      <c r="E3" s="1"/>
      <c r="F3" s="1"/>
      <c r="G3" s="1"/>
      <c r="H3" s="1"/>
      <c r="I3" s="1"/>
      <c r="J3" s="1"/>
      <c r="K3" s="1"/>
      <c r="L3" s="1"/>
      <c r="M3" s="1"/>
      <c r="N3" s="1"/>
      <c r="O3" s="1"/>
      <c r="P3" s="1"/>
      <c r="Q3" s="1"/>
      <c r="R3" s="1"/>
      <c r="S3" s="1"/>
      <c r="T3" s="1"/>
      <c r="U3" s="1"/>
      <c r="V3" s="1"/>
      <c r="W3" s="1"/>
      <c r="X3" s="1"/>
      <c r="Y3" s="1"/>
      <c r="Z3" s="1"/>
      <c r="AA3" s="1"/>
      <c r="AB3" s="1"/>
      <c r="AC3" s="1"/>
      <c r="AD3" s="1"/>
      <c r="AE3" s="1"/>
      <c r="AF3" s="1"/>
      <c r="AG3" s="1"/>
    </row>
    <row r="4" spans="1:33" ht="16.5" x14ac:dyDescent="0.3">
      <c r="A4" s="45" t="s">
        <v>168</v>
      </c>
      <c r="B4" s="46">
        <v>8</v>
      </c>
      <c r="C4" s="23"/>
      <c r="D4" s="23"/>
      <c r="E4" s="23"/>
      <c r="F4" s="23"/>
      <c r="G4" s="23"/>
      <c r="H4" s="23"/>
    </row>
    <row r="5" spans="1:33" ht="16.5" x14ac:dyDescent="0.3">
      <c r="A5" s="45" t="s">
        <v>225</v>
      </c>
      <c r="B5" s="47">
        <f ca="1">TODAY()</f>
        <v>44900</v>
      </c>
      <c r="C5" s="23"/>
      <c r="D5" s="23"/>
      <c r="E5" s="23"/>
      <c r="F5" s="23"/>
      <c r="G5" s="23"/>
      <c r="H5" s="23"/>
    </row>
    <row r="6" spans="1:33" ht="16.5" x14ac:dyDescent="0.3">
      <c r="A6" s="45" t="s">
        <v>169</v>
      </c>
      <c r="B6" s="47"/>
      <c r="C6" s="23"/>
      <c r="D6" s="23"/>
      <c r="E6" s="23"/>
      <c r="F6" s="23"/>
      <c r="G6" s="23"/>
      <c r="H6" s="23"/>
    </row>
    <row r="7" spans="1:33" ht="16.5" x14ac:dyDescent="0.3">
      <c r="A7" s="23"/>
      <c r="B7" s="23"/>
      <c r="C7" s="23"/>
      <c r="D7" s="23"/>
      <c r="E7" s="23"/>
      <c r="F7" s="23"/>
      <c r="G7" s="23"/>
      <c r="H7" s="23"/>
    </row>
    <row r="8" spans="1:33" ht="17.25" thickBot="1" x14ac:dyDescent="0.35">
      <c r="A8" s="61" t="s">
        <v>170</v>
      </c>
      <c r="B8" s="36"/>
      <c r="C8" s="23"/>
      <c r="D8" s="23"/>
      <c r="E8" s="23"/>
      <c r="F8" s="23"/>
      <c r="G8" s="23"/>
      <c r="H8" s="23"/>
    </row>
    <row r="9" spans="1:33" ht="16.5" x14ac:dyDescent="0.3">
      <c r="A9" s="43" t="s">
        <v>171</v>
      </c>
      <c r="B9" s="48"/>
      <c r="C9" s="23"/>
      <c r="D9" s="23"/>
      <c r="E9" s="23"/>
      <c r="F9" s="23"/>
      <c r="G9" s="23"/>
      <c r="H9" s="23"/>
    </row>
    <row r="10" spans="1:33" ht="16.5" x14ac:dyDescent="0.3">
      <c r="A10" s="43" t="s">
        <v>172</v>
      </c>
      <c r="B10" s="48"/>
      <c r="C10" s="23"/>
      <c r="D10" s="23"/>
      <c r="E10" s="23"/>
      <c r="F10" s="23"/>
      <c r="G10" s="23"/>
      <c r="H10" s="23"/>
    </row>
    <row r="11" spans="1:33" ht="16.5" x14ac:dyDescent="0.3">
      <c r="A11" s="44" t="s">
        <v>173</v>
      </c>
      <c r="B11" s="48"/>
      <c r="C11" s="23"/>
      <c r="D11" s="23"/>
      <c r="E11" s="23"/>
      <c r="F11" s="23"/>
      <c r="G11" s="23"/>
      <c r="H11" s="23"/>
    </row>
    <row r="12" spans="1:33" ht="16.5" x14ac:dyDescent="0.3">
      <c r="A12" s="44" t="s">
        <v>174</v>
      </c>
      <c r="B12" s="49"/>
      <c r="C12" s="23"/>
      <c r="D12" s="23"/>
      <c r="E12" s="23"/>
      <c r="F12" s="23"/>
      <c r="G12" s="23"/>
      <c r="H12" s="23"/>
    </row>
    <row r="13" spans="1:33" ht="16.5" x14ac:dyDescent="0.3">
      <c r="A13" s="23"/>
      <c r="B13" s="23"/>
      <c r="C13" s="23"/>
      <c r="D13" s="23"/>
      <c r="E13" s="23"/>
      <c r="F13" s="23"/>
      <c r="G13" s="23"/>
      <c r="H13" s="23"/>
    </row>
    <row r="14" spans="1:33" ht="16.5" x14ac:dyDescent="0.3">
      <c r="A14" s="23"/>
      <c r="B14" s="23"/>
      <c r="C14" s="23"/>
      <c r="D14" s="23"/>
      <c r="E14" s="23"/>
      <c r="F14" s="23"/>
      <c r="G14" s="23"/>
      <c r="H14" s="23"/>
    </row>
    <row r="15" spans="1:33" ht="16.5" x14ac:dyDescent="0.3">
      <c r="A15" s="38" t="s">
        <v>246</v>
      </c>
      <c r="B15" s="39"/>
      <c r="C15" s="40"/>
      <c r="D15" s="41" t="s">
        <v>176</v>
      </c>
      <c r="E15" s="42" t="s">
        <v>101</v>
      </c>
      <c r="F15" s="42" t="s">
        <v>177</v>
      </c>
      <c r="G15" s="42" t="s">
        <v>224</v>
      </c>
      <c r="H15" s="23"/>
    </row>
    <row r="16" spans="1:33" ht="16.5" x14ac:dyDescent="0.3">
      <c r="A16" s="89"/>
      <c r="B16" s="90"/>
      <c r="C16" s="91"/>
      <c r="D16" s="46"/>
      <c r="E16" s="50" t="str">
        <f t="array" ref="E16:E33">(IF(ISBLANK(A16:A33),"",VLOOKUP(A16:A33,Products!A6:C45,3,FALSE)))</f>
        <v/>
      </c>
      <c r="F16" s="46"/>
      <c r="G16" s="50" t="str">
        <f>IF(ISNUMBER(E16),F16*E16,"")</f>
        <v/>
      </c>
      <c r="H16" s="23"/>
    </row>
    <row r="17" spans="1:8" ht="16.5" x14ac:dyDescent="0.3">
      <c r="A17" s="89"/>
      <c r="B17" s="90"/>
      <c r="C17" s="91"/>
      <c r="D17" s="46" t="str">
        <f t="array" ref="D17">(IF(ISBLANK(A17:A34),"",VLOOKUP(A17:A34,Products!A7:C46,2,FALSE)))</f>
        <v/>
      </c>
      <c r="E17" s="50" t="str">
        <v/>
      </c>
      <c r="F17" s="46"/>
      <c r="G17" s="50" t="str">
        <f t="shared" ref="G17:G33" si="0">IF(ISNUMBER(E17),F17*E17,"")</f>
        <v/>
      </c>
      <c r="H17" s="23"/>
    </row>
    <row r="18" spans="1:8" ht="16.5" x14ac:dyDescent="0.3">
      <c r="A18" s="89"/>
      <c r="B18" s="90"/>
      <c r="C18" s="91"/>
      <c r="D18" s="46" t="str">
        <f t="array" ref="D18">(IF(ISBLANK(A18:A35),"",VLOOKUP(A18:A35,Products!A8:C47,2,FALSE)))</f>
        <v/>
      </c>
      <c r="E18" s="50" t="str">
        <v/>
      </c>
      <c r="F18" s="46"/>
      <c r="G18" s="50" t="str">
        <f t="shared" si="0"/>
        <v/>
      </c>
      <c r="H18" s="23"/>
    </row>
    <row r="19" spans="1:8" ht="16.5" x14ac:dyDescent="0.3">
      <c r="A19" s="89"/>
      <c r="B19" s="90"/>
      <c r="C19" s="91"/>
      <c r="D19" s="46" t="str">
        <f t="array" ref="D19">(IF(ISBLANK(A19:A36),"",VLOOKUP(A19:A36,Products!A9:C48,2,FALSE)))</f>
        <v/>
      </c>
      <c r="E19" s="50" t="str">
        <v/>
      </c>
      <c r="F19" s="46"/>
      <c r="G19" s="50" t="str">
        <f t="shared" si="0"/>
        <v/>
      </c>
      <c r="H19" s="23"/>
    </row>
    <row r="20" spans="1:8" ht="16.5" x14ac:dyDescent="0.3">
      <c r="A20" s="89"/>
      <c r="B20" s="90"/>
      <c r="C20" s="91"/>
      <c r="D20" s="46" t="str">
        <f t="array" ref="D20">(IF(ISBLANK(A20:A37),"",VLOOKUP(A20:A37,Products!A10:C49,2,FALSE)))</f>
        <v/>
      </c>
      <c r="E20" s="50" t="str">
        <v/>
      </c>
      <c r="F20" s="46"/>
      <c r="G20" s="50" t="str">
        <f t="shared" si="0"/>
        <v/>
      </c>
      <c r="H20" s="23"/>
    </row>
    <row r="21" spans="1:8" ht="16.5" x14ac:dyDescent="0.3">
      <c r="A21" s="89"/>
      <c r="B21" s="90"/>
      <c r="C21" s="91"/>
      <c r="D21" s="46" t="str">
        <f t="array" ref="D21">(IF(ISBLANK(A21:A38),"",VLOOKUP(A21:A38,Products!A11:C50,2,FALSE)))</f>
        <v/>
      </c>
      <c r="E21" s="50" t="str">
        <v/>
      </c>
      <c r="F21" s="46"/>
      <c r="G21" s="50" t="str">
        <f t="shared" si="0"/>
        <v/>
      </c>
      <c r="H21" s="23"/>
    </row>
    <row r="22" spans="1:8" ht="16.5" x14ac:dyDescent="0.3">
      <c r="A22" s="89"/>
      <c r="B22" s="90"/>
      <c r="C22" s="91"/>
      <c r="D22" s="46" t="str">
        <f t="array" ref="D22">(IF(ISBLANK(A22:A39),"",VLOOKUP(A22:A39,Products!A12:C51,2,FALSE)))</f>
        <v/>
      </c>
      <c r="E22" s="50" t="str">
        <v/>
      </c>
      <c r="F22" s="46"/>
      <c r="G22" s="50" t="str">
        <f t="shared" si="0"/>
        <v/>
      </c>
      <c r="H22" s="23"/>
    </row>
    <row r="23" spans="1:8" ht="16.5" x14ac:dyDescent="0.3">
      <c r="A23" s="89"/>
      <c r="B23" s="90"/>
      <c r="C23" s="91"/>
      <c r="D23" s="46" t="str">
        <f t="array" ref="D23">(IF(ISBLANK(A23:A40),"",VLOOKUP(A23:A40,Products!A13:C52,2,FALSE)))</f>
        <v/>
      </c>
      <c r="E23" s="50" t="str">
        <v/>
      </c>
      <c r="F23" s="46"/>
      <c r="G23" s="50" t="str">
        <f t="shared" si="0"/>
        <v/>
      </c>
      <c r="H23" s="23"/>
    </row>
    <row r="24" spans="1:8" ht="16.5" x14ac:dyDescent="0.3">
      <c r="A24" s="89"/>
      <c r="B24" s="90"/>
      <c r="C24" s="91"/>
      <c r="D24" s="46" t="str">
        <f t="array" ref="D24">(IF(ISBLANK(A24:A41),"",VLOOKUP(A24:A41,Products!A14:C53,2,FALSE)))</f>
        <v/>
      </c>
      <c r="E24" s="50" t="str">
        <v/>
      </c>
      <c r="F24" s="46"/>
      <c r="G24" s="50" t="str">
        <f t="shared" si="0"/>
        <v/>
      </c>
      <c r="H24" s="23"/>
    </row>
    <row r="25" spans="1:8" ht="16.5" x14ac:dyDescent="0.3">
      <c r="A25" s="89"/>
      <c r="B25" s="90"/>
      <c r="C25" s="91"/>
      <c r="D25" s="46" t="str">
        <f t="array" ref="D25">(IF(ISBLANK(A25:A42),"",VLOOKUP(A25:A42,Products!A15:C54,2,FALSE)))</f>
        <v/>
      </c>
      <c r="E25" s="50" t="str">
        <v/>
      </c>
      <c r="F25" s="46"/>
      <c r="G25" s="50" t="str">
        <f t="shared" si="0"/>
        <v/>
      </c>
      <c r="H25" s="23"/>
    </row>
    <row r="26" spans="1:8" ht="16.5" x14ac:dyDescent="0.3">
      <c r="A26" s="89"/>
      <c r="B26" s="90"/>
      <c r="C26" s="91"/>
      <c r="D26" s="46" t="str">
        <f t="array" ref="D26">(IF(ISBLANK(A26:A43),"",VLOOKUP(A26:A43,Products!A16:C55,2,FALSE)))</f>
        <v/>
      </c>
      <c r="E26" s="50" t="str">
        <v/>
      </c>
      <c r="F26" s="46"/>
      <c r="G26" s="50" t="str">
        <f t="shared" si="0"/>
        <v/>
      </c>
      <c r="H26" s="23"/>
    </row>
    <row r="27" spans="1:8" ht="16.5" x14ac:dyDescent="0.3">
      <c r="A27" s="89"/>
      <c r="B27" s="90"/>
      <c r="C27" s="91"/>
      <c r="D27" s="46" t="str">
        <f t="array" ref="D27">(IF(ISBLANK(A27:A44),"",VLOOKUP(A27:A44,Products!A17:C56,2,FALSE)))</f>
        <v/>
      </c>
      <c r="E27" s="50" t="str">
        <v/>
      </c>
      <c r="F27" s="46"/>
      <c r="G27" s="50" t="str">
        <f t="shared" si="0"/>
        <v/>
      </c>
      <c r="H27" s="23"/>
    </row>
    <row r="28" spans="1:8" ht="16.5" x14ac:dyDescent="0.3">
      <c r="A28" s="89"/>
      <c r="B28" s="90"/>
      <c r="C28" s="91"/>
      <c r="D28" s="46" t="str">
        <f t="array" ref="D28">(IF(ISBLANK(A28:A45),"",VLOOKUP(A28:A45,Products!A18:C57,2,FALSE)))</f>
        <v/>
      </c>
      <c r="E28" s="50" t="str">
        <v/>
      </c>
      <c r="F28" s="46"/>
      <c r="G28" s="50" t="str">
        <f t="shared" si="0"/>
        <v/>
      </c>
      <c r="H28" s="23"/>
    </row>
    <row r="29" spans="1:8" ht="16.5" x14ac:dyDescent="0.3">
      <c r="A29" s="89"/>
      <c r="B29" s="90"/>
      <c r="C29" s="91"/>
      <c r="D29" s="46" t="str">
        <f t="array" ref="D29">(IF(ISBLANK(A29:A46),"",VLOOKUP(A29:A46,Products!A19:C58,2,FALSE)))</f>
        <v/>
      </c>
      <c r="E29" s="50" t="str">
        <v/>
      </c>
      <c r="F29" s="46"/>
      <c r="G29" s="50" t="str">
        <f t="shared" si="0"/>
        <v/>
      </c>
      <c r="H29" s="23"/>
    </row>
    <row r="30" spans="1:8" ht="16.5" x14ac:dyDescent="0.3">
      <c r="A30" s="89"/>
      <c r="B30" s="90"/>
      <c r="C30" s="91"/>
      <c r="D30" s="46" t="str">
        <f t="array" ref="D30">(IF(ISBLANK(A30:A47),"",VLOOKUP(A30:A47,Products!A20:C59,2,FALSE)))</f>
        <v/>
      </c>
      <c r="E30" s="50" t="str">
        <v/>
      </c>
      <c r="F30" s="46"/>
      <c r="G30" s="50" t="str">
        <f t="shared" si="0"/>
        <v/>
      </c>
      <c r="H30" s="23"/>
    </row>
    <row r="31" spans="1:8" ht="16.5" x14ac:dyDescent="0.3">
      <c r="A31" s="89"/>
      <c r="B31" s="90"/>
      <c r="C31" s="91"/>
      <c r="D31" s="46" t="str">
        <f t="array" ref="D31">(IF(ISBLANK(A31:A48),"",VLOOKUP(A31:A48,Products!A21:C60,2,FALSE)))</f>
        <v/>
      </c>
      <c r="E31" s="50" t="str">
        <v/>
      </c>
      <c r="F31" s="46"/>
      <c r="G31" s="50" t="str">
        <f t="shared" si="0"/>
        <v/>
      </c>
      <c r="H31" s="23"/>
    </row>
    <row r="32" spans="1:8" ht="16.5" x14ac:dyDescent="0.3">
      <c r="A32" s="89"/>
      <c r="B32" s="90"/>
      <c r="C32" s="91"/>
      <c r="D32" s="46" t="str">
        <f t="array" ref="D32">(IF(ISBLANK(A32:A49),"",VLOOKUP(A32:A49,Products!A22:C61,2,FALSE)))</f>
        <v/>
      </c>
      <c r="E32" s="50" t="str">
        <v/>
      </c>
      <c r="F32" s="46"/>
      <c r="G32" s="50" t="str">
        <f t="shared" si="0"/>
        <v/>
      </c>
      <c r="H32" s="23"/>
    </row>
    <row r="33" spans="1:8" ht="16.5" x14ac:dyDescent="0.3">
      <c r="A33" s="89"/>
      <c r="B33" s="90"/>
      <c r="C33" s="91"/>
      <c r="D33" s="46" t="str">
        <f t="array" ref="D33">(IF(ISBLANK(A33:A50),"",VLOOKUP(A33:A50,Products!A23:C62,2,FALSE)))</f>
        <v/>
      </c>
      <c r="E33" s="50" t="str">
        <v/>
      </c>
      <c r="F33" s="46"/>
      <c r="G33" s="50" t="str">
        <f t="shared" si="0"/>
        <v/>
      </c>
      <c r="H33" s="23"/>
    </row>
    <row r="34" spans="1:8" ht="16.5" x14ac:dyDescent="0.3">
      <c r="A34" s="23"/>
      <c r="B34" s="23"/>
      <c r="C34" s="23"/>
      <c r="D34" s="23"/>
      <c r="E34" s="23"/>
      <c r="F34" s="23"/>
      <c r="G34" s="23"/>
      <c r="H34" s="23"/>
    </row>
    <row r="35" spans="1:8" ht="16.5" x14ac:dyDescent="0.3">
      <c r="A35" s="23"/>
      <c r="B35" s="23"/>
      <c r="C35" s="23"/>
      <c r="D35" s="23"/>
      <c r="E35" s="23"/>
      <c r="F35" s="23"/>
      <c r="G35" s="23"/>
      <c r="H35" s="23"/>
    </row>
    <row r="36" spans="1:8" ht="16.5" x14ac:dyDescent="0.3">
      <c r="A36" s="23"/>
      <c r="B36" s="51"/>
      <c r="C36" s="52"/>
      <c r="D36" s="52"/>
      <c r="E36" s="53"/>
      <c r="F36" s="23"/>
      <c r="G36" s="23"/>
      <c r="H36" s="23"/>
    </row>
    <row r="37" spans="1:8" ht="16.5" x14ac:dyDescent="0.3">
      <c r="A37" s="23"/>
      <c r="B37" s="54" t="s">
        <v>177</v>
      </c>
      <c r="C37" s="13"/>
      <c r="D37" s="13"/>
      <c r="E37" s="55">
        <f>SUM(F16:F33)</f>
        <v>0</v>
      </c>
      <c r="F37" s="23"/>
      <c r="G37" s="23"/>
      <c r="H37" s="23"/>
    </row>
    <row r="38" spans="1:8" ht="16.5" x14ac:dyDescent="0.3">
      <c r="A38" s="23"/>
      <c r="B38" s="54" t="s">
        <v>178</v>
      </c>
      <c r="C38" s="13"/>
      <c r="D38" s="13"/>
      <c r="E38" s="56">
        <f>SUM(G16:G33)</f>
        <v>0</v>
      </c>
      <c r="F38" s="23"/>
      <c r="G38" s="23"/>
      <c r="H38" s="23"/>
    </row>
    <row r="39" spans="1:8" ht="17.25" thickBot="1" x14ac:dyDescent="0.35">
      <c r="A39" s="23"/>
      <c r="B39" s="57" t="s">
        <v>179</v>
      </c>
      <c r="C39" s="10"/>
      <c r="D39" s="10"/>
      <c r="E39" s="58">
        <f>E38*8%</f>
        <v>0</v>
      </c>
      <c r="F39" s="23"/>
      <c r="G39" s="23"/>
      <c r="H39" s="23"/>
    </row>
    <row r="40" spans="1:8" ht="17.25" x14ac:dyDescent="0.35">
      <c r="A40" s="23"/>
      <c r="B40" s="59" t="s">
        <v>180</v>
      </c>
      <c r="C40" s="14"/>
      <c r="D40" s="14"/>
      <c r="E40" s="60">
        <f>E38+E39</f>
        <v>0</v>
      </c>
      <c r="F40" s="23"/>
      <c r="G40" s="23"/>
      <c r="H40" s="23"/>
    </row>
    <row r="41" spans="1:8" ht="16.5" x14ac:dyDescent="0.3">
      <c r="A41" s="23"/>
      <c r="B41" s="23"/>
      <c r="C41" s="23"/>
      <c r="D41" s="23"/>
      <c r="E41" s="23"/>
      <c r="F41" s="23"/>
      <c r="G41" s="23"/>
      <c r="H41" s="23"/>
    </row>
    <row r="42" spans="1:8" ht="16.5" x14ac:dyDescent="0.3">
      <c r="A42" s="23"/>
      <c r="B42" s="23"/>
      <c r="C42" s="23"/>
      <c r="D42" s="23"/>
      <c r="E42" s="23"/>
      <c r="F42" s="23"/>
      <c r="G42" s="23"/>
      <c r="H42" s="23"/>
    </row>
    <row r="43" spans="1:8" ht="16.5" x14ac:dyDescent="0.3">
      <c r="A43" s="23"/>
      <c r="B43" s="23"/>
      <c r="C43" s="23"/>
      <c r="D43" s="23"/>
      <c r="E43" s="23"/>
      <c r="F43" s="23"/>
      <c r="G43" s="23"/>
      <c r="H43" s="23"/>
    </row>
    <row r="44" spans="1:8" ht="16.5" x14ac:dyDescent="0.3">
      <c r="A44" s="23"/>
      <c r="B44" s="23"/>
      <c r="C44" s="23"/>
      <c r="D44" s="23"/>
      <c r="E44" s="23"/>
      <c r="F44" s="23"/>
      <c r="G44" s="23"/>
      <c r="H44" s="23"/>
    </row>
    <row r="45" spans="1:8" ht="16.5" x14ac:dyDescent="0.3">
      <c r="A45" s="23"/>
      <c r="B45" s="23"/>
      <c r="C45" s="23"/>
      <c r="D45" s="23"/>
      <c r="E45" s="23"/>
      <c r="F45" s="23"/>
      <c r="G45" s="23"/>
      <c r="H45" s="23"/>
    </row>
    <row r="46" spans="1:8" ht="16.5" x14ac:dyDescent="0.3">
      <c r="A46" s="23"/>
      <c r="B46" s="23"/>
      <c r="C46" s="23"/>
      <c r="D46" s="23"/>
      <c r="E46" s="23"/>
      <c r="F46" s="23"/>
      <c r="G46" s="23"/>
      <c r="H46" s="23"/>
    </row>
    <row r="47" spans="1:8" ht="16.5" x14ac:dyDescent="0.3">
      <c r="A47" s="23"/>
      <c r="B47" s="23"/>
      <c r="C47" s="23"/>
      <c r="D47" s="23"/>
      <c r="E47" s="23"/>
      <c r="F47" s="23"/>
      <c r="G47" s="23"/>
      <c r="H47" s="23"/>
    </row>
    <row r="48" spans="1:8" ht="16.5" x14ac:dyDescent="0.3">
      <c r="A48" s="23"/>
      <c r="B48" s="23"/>
      <c r="C48" s="23"/>
      <c r="D48" s="23"/>
      <c r="E48" s="23"/>
      <c r="F48" s="23"/>
      <c r="G48" s="23"/>
      <c r="H48" s="23"/>
    </row>
    <row r="49" spans="1:8" ht="16.5" x14ac:dyDescent="0.3">
      <c r="A49" s="23"/>
      <c r="B49" s="23"/>
      <c r="C49" s="23"/>
      <c r="D49" s="23"/>
      <c r="E49" s="23"/>
      <c r="F49" s="23"/>
      <c r="G49" s="23"/>
      <c r="H49" s="23"/>
    </row>
    <row r="50" spans="1:8" ht="16.5" x14ac:dyDescent="0.3">
      <c r="A50" s="23"/>
      <c r="B50" s="23"/>
      <c r="C50" s="23"/>
      <c r="D50" s="23"/>
      <c r="E50" s="23"/>
      <c r="F50" s="23"/>
      <c r="G50" s="23"/>
      <c r="H50" s="23"/>
    </row>
    <row r="51" spans="1:8" ht="16.5" x14ac:dyDescent="0.3">
      <c r="A51" s="23"/>
      <c r="B51" s="23"/>
      <c r="C51" s="23"/>
      <c r="D51" s="23"/>
      <c r="E51" s="23"/>
      <c r="F51" s="23"/>
      <c r="G51" s="23"/>
      <c r="H51" s="23"/>
    </row>
    <row r="52" spans="1:8" ht="16.5" x14ac:dyDescent="0.3">
      <c r="A52" s="23"/>
      <c r="B52" s="23"/>
      <c r="C52" s="23"/>
      <c r="D52" s="23"/>
      <c r="E52" s="23"/>
      <c r="F52" s="23"/>
      <c r="G52" s="23"/>
      <c r="H52" s="23"/>
    </row>
    <row r="53" spans="1:8" ht="16.5" x14ac:dyDescent="0.3">
      <c r="A53" s="23"/>
      <c r="B53" s="23"/>
      <c r="C53" s="23"/>
      <c r="D53" s="23"/>
      <c r="E53" s="23"/>
      <c r="F53" s="23"/>
      <c r="G53" s="23"/>
      <c r="H53" s="23"/>
    </row>
    <row r="54" spans="1:8" ht="16.5" x14ac:dyDescent="0.3">
      <c r="A54" s="23"/>
      <c r="B54" s="23"/>
      <c r="C54" s="23"/>
      <c r="D54" s="23"/>
      <c r="E54" s="23"/>
      <c r="F54" s="23"/>
      <c r="G54" s="23"/>
      <c r="H54" s="23"/>
    </row>
    <row r="55" spans="1:8" ht="16.5" x14ac:dyDescent="0.3">
      <c r="A55" s="23"/>
      <c r="B55" s="23"/>
      <c r="C55" s="23"/>
      <c r="D55" s="23"/>
      <c r="E55" s="23"/>
      <c r="F55" s="23"/>
      <c r="G55" s="23"/>
      <c r="H55" s="23"/>
    </row>
    <row r="56" spans="1:8" ht="16.5" x14ac:dyDescent="0.3">
      <c r="A56" s="23"/>
      <c r="B56" s="23"/>
      <c r="C56" s="23"/>
      <c r="D56" s="23"/>
      <c r="E56" s="23"/>
      <c r="F56" s="23"/>
      <c r="G56" s="23"/>
      <c r="H56" s="23"/>
    </row>
    <row r="57" spans="1:8" ht="16.5" x14ac:dyDescent="0.3">
      <c r="A57" s="23"/>
      <c r="B57" s="23"/>
      <c r="C57" s="23"/>
      <c r="D57" s="23"/>
      <c r="E57" s="23"/>
      <c r="F57" s="23"/>
      <c r="G57" s="23"/>
      <c r="H57" s="23"/>
    </row>
    <row r="58" spans="1:8" ht="16.5" x14ac:dyDescent="0.3">
      <c r="A58" s="23"/>
      <c r="B58" s="23"/>
      <c r="C58" s="23"/>
      <c r="D58" s="23"/>
      <c r="E58" s="23"/>
      <c r="F58" s="23"/>
      <c r="G58" s="23"/>
      <c r="H58" s="23"/>
    </row>
    <row r="59" spans="1:8" ht="16.5" x14ac:dyDescent="0.3">
      <c r="A59" s="23"/>
      <c r="B59" s="23"/>
      <c r="C59" s="23"/>
      <c r="D59" s="23"/>
      <c r="E59" s="23"/>
      <c r="F59" s="23"/>
      <c r="G59" s="23"/>
      <c r="H59" s="23"/>
    </row>
    <row r="60" spans="1:8" ht="16.5" x14ac:dyDescent="0.3">
      <c r="A60" s="23"/>
      <c r="B60" s="23"/>
      <c r="C60" s="23"/>
      <c r="D60" s="23"/>
      <c r="E60" s="23"/>
      <c r="F60" s="23"/>
      <c r="G60" s="23"/>
      <c r="H60" s="23"/>
    </row>
  </sheetData>
  <mergeCells count="19">
    <mergeCell ref="A32:C32"/>
    <mergeCell ref="A33:C33"/>
    <mergeCell ref="A25:C25"/>
    <mergeCell ref="A26:C26"/>
    <mergeCell ref="A27:C27"/>
    <mergeCell ref="A28:C28"/>
    <mergeCell ref="A29:C29"/>
    <mergeCell ref="A30:C30"/>
    <mergeCell ref="A18:C18"/>
    <mergeCell ref="A19:C19"/>
    <mergeCell ref="A20:C20"/>
    <mergeCell ref="C1:D3"/>
    <mergeCell ref="A31:C31"/>
    <mergeCell ref="A21:C21"/>
    <mergeCell ref="A22:C22"/>
    <mergeCell ref="A23:C23"/>
    <mergeCell ref="A24:C24"/>
    <mergeCell ref="A16:C16"/>
    <mergeCell ref="A17:C17"/>
  </mergeCell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2295" r:id="rId5" name="Button 7">
              <controlPr defaultSize="0" print="0" autoFill="0" autoPict="0" macro="[0]!InvoiceToTransaction">
                <anchor moveWithCells="1" sizeWithCells="1">
                  <from>
                    <xdr:col>3</xdr:col>
                    <xdr:colOff>0</xdr:colOff>
                    <xdr:row>3</xdr:row>
                    <xdr:rowOff>95250</xdr:rowOff>
                  </from>
                  <to>
                    <xdr:col>5</xdr:col>
                    <xdr:colOff>581025</xdr:colOff>
                    <xdr:row>5</xdr:row>
                    <xdr:rowOff>123825</xdr:rowOff>
                  </to>
                </anchor>
              </controlPr>
            </control>
          </mc:Choice>
        </mc:AlternateContent>
        <mc:AlternateContent xmlns:mc="http://schemas.openxmlformats.org/markup-compatibility/2006">
          <mc:Choice Requires="x14">
            <control shapeId="12296" r:id="rId6" name="Button 8">
              <controlPr defaultSize="0" print="0" autoFill="0" autoPict="0" macro="[0]!CreateNewInvoice">
                <anchor moveWithCells="1" sizeWithCells="1">
                  <from>
                    <xdr:col>2</xdr:col>
                    <xdr:colOff>581025</xdr:colOff>
                    <xdr:row>8</xdr:row>
                    <xdr:rowOff>171450</xdr:rowOff>
                  </from>
                  <to>
                    <xdr:col>6</xdr:col>
                    <xdr:colOff>0</xdr:colOff>
                    <xdr:row>10</xdr:row>
                    <xdr:rowOff>200025</xdr:rowOff>
                  </to>
                </anchor>
              </controlPr>
            </control>
          </mc:Choice>
        </mc:AlternateContent>
        <mc:AlternateContent xmlns:mc="http://schemas.openxmlformats.org/markup-compatibility/2006">
          <mc:Choice Requires="x14">
            <control shapeId="12297" r:id="rId7" name="Button 9">
              <controlPr defaultSize="0" print="0" autoFill="0" autoPict="0" macro="[0]!Next_Worksheet">
                <anchor moveWithCells="1" sizeWithCells="1">
                  <from>
                    <xdr:col>5</xdr:col>
                    <xdr:colOff>457200</xdr:colOff>
                    <xdr:row>0</xdr:row>
                    <xdr:rowOff>161925</xdr:rowOff>
                  </from>
                  <to>
                    <xdr:col>7</xdr:col>
                    <xdr:colOff>9525</xdr:colOff>
                    <xdr:row>2</xdr:row>
                    <xdr:rowOff>66675</xdr:rowOff>
                  </to>
                </anchor>
              </controlPr>
            </control>
          </mc:Choice>
        </mc:AlternateContent>
        <mc:AlternateContent xmlns:mc="http://schemas.openxmlformats.org/markup-compatibility/2006">
          <mc:Choice Requires="x14">
            <control shapeId="12298" r:id="rId8" name="Button 10">
              <controlPr defaultSize="0" print="0" autoFill="0" autoPict="0" macro="[0]!Prev_Worksheet">
                <anchor moveWithCells="1" sizeWithCells="1">
                  <from>
                    <xdr:col>4</xdr:col>
                    <xdr:colOff>276225</xdr:colOff>
                    <xdr:row>0</xdr:row>
                    <xdr:rowOff>161925</xdr:rowOff>
                  </from>
                  <to>
                    <xdr:col>5</xdr:col>
                    <xdr:colOff>447675</xdr:colOff>
                    <xdr:row>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8B00B63-A56A-46EC-BB29-0891F1B4A12C}">
          <x14:formula1>
            <xm:f>Employees!$B$5:$B$9</xm:f>
          </x14:formula1>
          <xm:sqref>B6</xm:sqref>
        </x14:dataValidation>
        <x14:dataValidation type="list" allowBlank="1" showInputMessage="1" showErrorMessage="1" xr:uid="{17248919-9C4C-4C1E-864E-A7B0C9857792}">
          <x14:formula1>
            <xm:f>Products!$A$6:$A$45</xm:f>
          </x14:formula1>
          <xm:sqref>A16:C33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3AA1C-4057-4AE2-BEFC-958EB5EF5980}">
  <sheetPr codeName="Sheet5"/>
  <dimension ref="A1:AZ63"/>
  <sheetViews>
    <sheetView zoomScaleNormal="100" workbookViewId="0">
      <selection activeCell="A15" sqref="A15"/>
    </sheetView>
  </sheetViews>
  <sheetFormatPr defaultColWidth="8.85546875" defaultRowHeight="15" x14ac:dyDescent="0.25"/>
  <cols>
    <col min="1" max="1" width="39" style="19" customWidth="1"/>
    <col min="2" max="2" width="22" style="19" customWidth="1"/>
    <col min="3" max="3" width="13.85546875" style="19" customWidth="1"/>
    <col min="4" max="4" width="9.140625" style="65" customWidth="1"/>
    <col min="5" max="6" width="8.85546875" style="19"/>
    <col min="7" max="7" width="13.140625" style="19" bestFit="1" customWidth="1"/>
    <col min="8" max="8" width="12" style="19" bestFit="1" customWidth="1"/>
    <col min="9" max="47" width="6" style="19" bestFit="1" customWidth="1"/>
    <col min="48" max="48" width="4" style="19" bestFit="1" customWidth="1"/>
    <col min="49" max="49" width="7.28515625" style="19" bestFit="1" customWidth="1"/>
    <col min="50" max="50" width="11.28515625" style="19" bestFit="1" customWidth="1"/>
    <col min="51" max="51" width="10.85546875" style="19" bestFit="1" customWidth="1"/>
    <col min="52" max="52" width="23.5703125" style="19" bestFit="1" customWidth="1"/>
    <col min="53" max="53" width="10.85546875" style="19" bestFit="1" customWidth="1"/>
    <col min="54" max="54" width="23.7109375" style="19" bestFit="1" customWidth="1"/>
    <col min="55" max="55" width="10.85546875" style="19" bestFit="1" customWidth="1"/>
    <col min="56" max="56" width="23" style="19" bestFit="1" customWidth="1"/>
    <col min="57" max="57" width="10.85546875" style="19" bestFit="1" customWidth="1"/>
    <col min="58" max="58" width="23.140625" style="19" bestFit="1" customWidth="1"/>
    <col min="59" max="59" width="10.85546875" style="19" bestFit="1" customWidth="1"/>
    <col min="60" max="60" width="22.28515625" style="19" bestFit="1" customWidth="1"/>
    <col min="61" max="61" width="10.85546875" style="19" bestFit="1" customWidth="1"/>
    <col min="62" max="62" width="22.42578125" style="19" bestFit="1" customWidth="1"/>
    <col min="63" max="63" width="10.85546875" style="19" bestFit="1" customWidth="1"/>
    <col min="64" max="64" width="29.85546875" style="19" bestFit="1" customWidth="1"/>
    <col min="65" max="65" width="10.85546875" style="19" bestFit="1" customWidth="1"/>
    <col min="66" max="66" width="30" style="19" bestFit="1" customWidth="1"/>
    <col min="67" max="67" width="10.85546875" style="19" bestFit="1" customWidth="1"/>
    <col min="68" max="68" width="23.42578125" style="19" bestFit="1" customWidth="1"/>
    <col min="69" max="69" width="10.85546875" style="19" bestFit="1" customWidth="1"/>
    <col min="70" max="70" width="23.5703125" style="19" bestFit="1" customWidth="1"/>
    <col min="71" max="71" width="10.85546875" style="19" bestFit="1" customWidth="1"/>
    <col min="72" max="72" width="24.42578125" style="19" bestFit="1" customWidth="1"/>
    <col min="73" max="73" width="10.85546875" style="19" bestFit="1" customWidth="1"/>
    <col min="74" max="74" width="24.5703125" style="19" bestFit="1" customWidth="1"/>
    <col min="75" max="75" width="10.85546875" style="19" bestFit="1" customWidth="1"/>
    <col min="76" max="76" width="23.85546875" style="19" bestFit="1" customWidth="1"/>
    <col min="77" max="77" width="10.85546875" style="19" bestFit="1" customWidth="1"/>
    <col min="78" max="78" width="24" style="19" bestFit="1" customWidth="1"/>
    <col min="79" max="79" width="10.85546875" style="19" bestFit="1" customWidth="1"/>
    <col min="80" max="80" width="23.140625" style="19" bestFit="1" customWidth="1"/>
    <col min="81" max="81" width="10.85546875" style="19" bestFit="1" customWidth="1"/>
    <col min="82" max="82" width="23.28515625" style="19" bestFit="1" customWidth="1"/>
    <col min="83" max="83" width="10.85546875" style="19" bestFit="1" customWidth="1"/>
    <col min="84" max="84" width="30.7109375" style="19" bestFit="1" customWidth="1"/>
    <col min="85" max="85" width="10.85546875" style="19" bestFit="1" customWidth="1"/>
    <col min="86" max="86" width="30.85546875" style="19" bestFit="1" customWidth="1"/>
    <col min="87" max="87" width="10.85546875" style="19" bestFit="1" customWidth="1"/>
    <col min="88" max="88" width="26.7109375" style="19" bestFit="1" customWidth="1"/>
    <col min="89" max="89" width="8.85546875" style="19" bestFit="1" customWidth="1"/>
    <col min="90" max="90" width="9.140625" style="19" bestFit="1" customWidth="1"/>
    <col min="91" max="91" width="12.140625" style="19" bestFit="1" customWidth="1"/>
    <col min="92" max="92" width="11.28515625" style="19" bestFit="1" customWidth="1"/>
    <col min="93" max="93" width="10.85546875" style="19" bestFit="1" customWidth="1"/>
    <col min="94" max="94" width="31.85546875" style="19" bestFit="1" customWidth="1"/>
    <col min="95" max="95" width="35" style="19" bestFit="1" customWidth="1"/>
    <col min="96" max="96" width="10.85546875" style="19" bestFit="1" customWidth="1"/>
    <col min="97" max="97" width="25.28515625" style="19" bestFit="1" customWidth="1"/>
    <col min="98" max="98" width="28.42578125" style="19" bestFit="1" customWidth="1"/>
    <col min="99" max="99" width="10.85546875" style="19" bestFit="1" customWidth="1"/>
    <col min="100" max="100" width="25.42578125" style="19" bestFit="1" customWidth="1"/>
    <col min="101" max="101" width="28.5703125" style="19" bestFit="1" customWidth="1"/>
    <col min="102" max="102" width="10.85546875" style="19" bestFit="1" customWidth="1"/>
    <col min="103" max="103" width="26.28515625" style="19" bestFit="1" customWidth="1"/>
    <col min="104" max="104" width="29.42578125" style="19" bestFit="1" customWidth="1"/>
    <col min="105" max="105" width="10.85546875" style="19" bestFit="1" customWidth="1"/>
    <col min="106" max="106" width="26.42578125" style="19" bestFit="1" customWidth="1"/>
    <col min="107" max="107" width="29.7109375" style="19" bestFit="1" customWidth="1"/>
    <col min="108" max="108" width="10.85546875" style="19" bestFit="1" customWidth="1"/>
    <col min="109" max="109" width="25.7109375" style="19" bestFit="1" customWidth="1"/>
    <col min="110" max="110" width="28.85546875" style="19" bestFit="1" customWidth="1"/>
    <col min="111" max="111" width="10.85546875" style="19" bestFit="1" customWidth="1"/>
    <col min="112" max="112" width="25.85546875" style="19" bestFit="1" customWidth="1"/>
    <col min="113" max="113" width="29" style="19" bestFit="1" customWidth="1"/>
    <col min="114" max="114" width="10.85546875" style="19" bestFit="1" customWidth="1"/>
    <col min="115" max="115" width="25" style="19" bestFit="1" customWidth="1"/>
    <col min="116" max="116" width="28.140625" style="19" bestFit="1" customWidth="1"/>
    <col min="117" max="117" width="10.85546875" style="19" bestFit="1" customWidth="1"/>
    <col min="118" max="118" width="25.140625" style="19" bestFit="1" customWidth="1"/>
    <col min="119" max="119" width="28.28515625" style="19" bestFit="1" customWidth="1"/>
    <col min="120" max="120" width="10.85546875" style="19" bestFit="1" customWidth="1"/>
    <col min="121" max="121" width="32.5703125" style="19" bestFit="1" customWidth="1"/>
    <col min="122" max="122" width="35.7109375" style="19" bestFit="1" customWidth="1"/>
    <col min="123" max="123" width="10.85546875" style="19" bestFit="1" customWidth="1"/>
    <col min="124" max="124" width="32.7109375" style="19" bestFit="1" customWidth="1"/>
    <col min="125" max="125" width="35.85546875" style="19" bestFit="1" customWidth="1"/>
    <col min="126" max="126" width="10.85546875" style="19" bestFit="1" customWidth="1"/>
    <col min="127" max="127" width="28.5703125" style="19" bestFit="1" customWidth="1"/>
    <col min="128" max="128" width="31.7109375" style="19" bestFit="1" customWidth="1"/>
    <col min="129" max="129" width="8.85546875" style="19"/>
    <col min="130" max="130" width="9.140625" style="19" bestFit="1" customWidth="1"/>
    <col min="131" max="132" width="12.140625" style="19" bestFit="1" customWidth="1"/>
    <col min="133" max="133" width="11.28515625" style="19" bestFit="1" customWidth="1"/>
    <col min="134" max="16384" width="8.85546875" style="19"/>
  </cols>
  <sheetData>
    <row r="1" spans="1:52" ht="16.5" customHeight="1" x14ac:dyDescent="0.3">
      <c r="A1" s="13"/>
      <c r="B1" s="86" t="s">
        <v>259</v>
      </c>
      <c r="C1" s="86"/>
      <c r="D1" s="86"/>
      <c r="E1" s="86"/>
      <c r="F1" s="86"/>
      <c r="G1" s="86"/>
      <c r="H1" s="13"/>
      <c r="I1" s="13"/>
      <c r="J1" s="13"/>
      <c r="K1" s="13"/>
      <c r="L1" s="13"/>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ht="16.5" x14ac:dyDescent="0.3">
      <c r="A2" s="13"/>
      <c r="B2" s="87"/>
      <c r="C2" s="86"/>
      <c r="D2" s="86"/>
      <c r="E2" s="86"/>
      <c r="F2" s="86"/>
      <c r="G2" s="86"/>
      <c r="H2" s="13"/>
      <c r="I2" s="13"/>
      <c r="J2" s="13"/>
      <c r="K2" s="13"/>
      <c r="L2" s="13"/>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row>
    <row r="3" spans="1:52" ht="16.5" x14ac:dyDescent="0.3">
      <c r="A3" s="13"/>
      <c r="B3" s="87"/>
      <c r="C3" s="86"/>
      <c r="D3" s="86"/>
      <c r="E3" s="86"/>
      <c r="F3" s="86"/>
      <c r="G3" s="86"/>
      <c r="H3" s="13"/>
      <c r="I3" s="13"/>
      <c r="J3" s="13"/>
      <c r="K3" s="13"/>
      <c r="L3" s="13"/>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row>
    <row r="4" spans="1:52" ht="16.5" x14ac:dyDescent="0.3">
      <c r="A4" s="5" t="s">
        <v>103</v>
      </c>
      <c r="B4" s="5" t="s">
        <v>102</v>
      </c>
      <c r="C4" s="66" t="s">
        <v>101</v>
      </c>
      <c r="D4" s="6"/>
      <c r="E4" s="23"/>
      <c r="F4" s="23"/>
      <c r="G4" s="19" t="s">
        <v>103</v>
      </c>
      <c r="H4" s="19" t="s">
        <v>256</v>
      </c>
      <c r="I4" s="23"/>
      <c r="J4" s="23"/>
      <c r="K4" s="23"/>
      <c r="L4" s="23"/>
    </row>
    <row r="5" spans="1:52" ht="17.25" x14ac:dyDescent="0.35">
      <c r="A5" s="6" t="s">
        <v>195</v>
      </c>
      <c r="B5" s="6" t="s">
        <v>251</v>
      </c>
      <c r="C5" s="7">
        <v>7.99</v>
      </c>
      <c r="D5" s="23"/>
      <c r="E5" s="23"/>
      <c r="F5" s="23"/>
      <c r="G5" s="62" t="s">
        <v>257</v>
      </c>
      <c r="H5" s="23"/>
      <c r="I5" s="23"/>
      <c r="J5" s="23"/>
      <c r="K5" s="23"/>
      <c r="L5" s="23"/>
    </row>
    <row r="6" spans="1:52" ht="16.5" x14ac:dyDescent="0.3">
      <c r="A6" s="6" t="s">
        <v>184</v>
      </c>
      <c r="B6" s="6" t="s">
        <v>100</v>
      </c>
      <c r="C6" s="7">
        <v>7.99</v>
      </c>
      <c r="D6" s="23"/>
      <c r="E6" s="23"/>
      <c r="F6" s="23"/>
      <c r="G6" s="19" t="s">
        <v>252</v>
      </c>
      <c r="H6" s="19" t="s">
        <v>255</v>
      </c>
    </row>
    <row r="7" spans="1:52" ht="16.5" x14ac:dyDescent="0.3">
      <c r="A7" s="6" t="s">
        <v>185</v>
      </c>
      <c r="B7" s="6" t="s">
        <v>99</v>
      </c>
      <c r="C7" s="7">
        <v>7.99</v>
      </c>
      <c r="D7" s="23"/>
      <c r="E7" s="23"/>
      <c r="F7" s="23"/>
      <c r="G7" s="63" t="s">
        <v>100</v>
      </c>
      <c r="H7" s="64">
        <v>7.99</v>
      </c>
    </row>
    <row r="8" spans="1:52" ht="16.5" x14ac:dyDescent="0.3">
      <c r="A8" s="6" t="s">
        <v>186</v>
      </c>
      <c r="B8" s="6" t="s">
        <v>98</v>
      </c>
      <c r="C8" s="7">
        <v>7.99</v>
      </c>
      <c r="D8" s="23"/>
      <c r="E8" s="23"/>
      <c r="F8" s="23"/>
      <c r="G8" s="63" t="s">
        <v>99</v>
      </c>
      <c r="H8" s="64">
        <v>7.99</v>
      </c>
    </row>
    <row r="9" spans="1:52" ht="16.5" x14ac:dyDescent="0.3">
      <c r="A9" s="6" t="s">
        <v>187</v>
      </c>
      <c r="B9" s="6" t="s">
        <v>97</v>
      </c>
      <c r="C9" s="7">
        <v>7.99</v>
      </c>
      <c r="D9" s="23"/>
      <c r="E9" s="23"/>
      <c r="F9" s="23"/>
      <c r="G9" s="63" t="s">
        <v>98</v>
      </c>
      <c r="H9" s="64">
        <v>7.99</v>
      </c>
    </row>
    <row r="10" spans="1:52" ht="16.5" x14ac:dyDescent="0.3">
      <c r="A10" s="6" t="s">
        <v>188</v>
      </c>
      <c r="B10" s="6" t="s">
        <v>96</v>
      </c>
      <c r="C10" s="7">
        <v>7.99</v>
      </c>
      <c r="D10" s="23"/>
      <c r="E10" s="23"/>
      <c r="F10" s="23"/>
      <c r="G10" s="63" t="s">
        <v>97</v>
      </c>
      <c r="H10" s="64">
        <v>7.99</v>
      </c>
    </row>
    <row r="11" spans="1:52" ht="16.5" x14ac:dyDescent="0.3">
      <c r="A11" s="6" t="s">
        <v>189</v>
      </c>
      <c r="B11" s="6" t="s">
        <v>95</v>
      </c>
      <c r="C11" s="7">
        <v>7.99</v>
      </c>
      <c r="D11" s="23"/>
      <c r="E11" s="23"/>
      <c r="F11" s="23"/>
      <c r="G11" s="63" t="s">
        <v>96</v>
      </c>
      <c r="H11" s="64">
        <v>7.99</v>
      </c>
    </row>
    <row r="12" spans="1:52" ht="16.5" x14ac:dyDescent="0.3">
      <c r="A12" s="6" t="s">
        <v>190</v>
      </c>
      <c r="B12" s="6" t="s">
        <v>94</v>
      </c>
      <c r="C12" s="7">
        <v>7.99</v>
      </c>
      <c r="D12" s="23"/>
      <c r="E12" s="23"/>
      <c r="F12" s="23"/>
      <c r="G12" s="63" t="s">
        <v>95</v>
      </c>
      <c r="H12" s="64">
        <v>7.99</v>
      </c>
    </row>
    <row r="13" spans="1:52" ht="16.5" x14ac:dyDescent="0.3">
      <c r="A13" s="6" t="s">
        <v>191</v>
      </c>
      <c r="B13" s="6" t="s">
        <v>93</v>
      </c>
      <c r="C13" s="7">
        <v>7.99</v>
      </c>
      <c r="D13" s="23"/>
      <c r="E13" s="23"/>
      <c r="F13" s="23"/>
      <c r="G13" s="63" t="s">
        <v>94</v>
      </c>
      <c r="H13" s="64">
        <v>7.99</v>
      </c>
    </row>
    <row r="14" spans="1:52" ht="16.5" x14ac:dyDescent="0.3">
      <c r="A14" s="6" t="s">
        <v>192</v>
      </c>
      <c r="B14" s="6" t="s">
        <v>92</v>
      </c>
      <c r="C14" s="7">
        <v>7.99</v>
      </c>
      <c r="D14" s="23"/>
      <c r="E14" s="23"/>
      <c r="F14" s="23"/>
      <c r="G14" s="63" t="s">
        <v>93</v>
      </c>
      <c r="H14" s="64">
        <v>7.99</v>
      </c>
    </row>
    <row r="15" spans="1:52" ht="16.5" x14ac:dyDescent="0.3">
      <c r="A15" s="6" t="s">
        <v>193</v>
      </c>
      <c r="B15" s="6" t="s">
        <v>91</v>
      </c>
      <c r="C15" s="7">
        <v>7.99</v>
      </c>
      <c r="D15" s="23"/>
      <c r="E15" s="23"/>
      <c r="F15" s="23"/>
      <c r="G15" s="63" t="s">
        <v>92</v>
      </c>
      <c r="H15" s="64">
        <v>7.99</v>
      </c>
    </row>
    <row r="16" spans="1:52" ht="16.5" x14ac:dyDescent="0.3">
      <c r="A16" s="6" t="s">
        <v>194</v>
      </c>
      <c r="B16" s="6" t="s">
        <v>90</v>
      </c>
      <c r="C16" s="7">
        <v>8.99</v>
      </c>
      <c r="D16" s="23"/>
      <c r="E16" s="23"/>
      <c r="F16" s="23"/>
      <c r="G16" s="63" t="s">
        <v>91</v>
      </c>
      <c r="H16" s="64">
        <v>7.99</v>
      </c>
    </row>
    <row r="17" spans="1:8" ht="16.5" x14ac:dyDescent="0.3">
      <c r="A17" s="6" t="s">
        <v>195</v>
      </c>
      <c r="B17" s="6" t="s">
        <v>89</v>
      </c>
      <c r="C17" s="7">
        <v>8.99</v>
      </c>
      <c r="D17" s="23"/>
      <c r="E17" s="23"/>
      <c r="F17" s="23"/>
      <c r="G17" s="63" t="s">
        <v>90</v>
      </c>
      <c r="H17" s="64">
        <v>8.99</v>
      </c>
    </row>
    <row r="18" spans="1:8" ht="16.5" x14ac:dyDescent="0.3">
      <c r="A18" s="6" t="s">
        <v>196</v>
      </c>
      <c r="B18" s="6" t="s">
        <v>88</v>
      </c>
      <c r="C18" s="7">
        <v>8.99</v>
      </c>
      <c r="D18" s="23"/>
      <c r="E18" s="23"/>
      <c r="F18" s="23"/>
      <c r="G18" s="63" t="s">
        <v>89</v>
      </c>
      <c r="H18" s="64">
        <v>8.99</v>
      </c>
    </row>
    <row r="19" spans="1:8" ht="16.5" x14ac:dyDescent="0.3">
      <c r="A19" s="6" t="s">
        <v>197</v>
      </c>
      <c r="B19" s="6" t="s">
        <v>87</v>
      </c>
      <c r="C19" s="7">
        <v>8.99</v>
      </c>
      <c r="D19" s="23"/>
      <c r="E19" s="23"/>
      <c r="F19" s="23"/>
      <c r="G19" s="63" t="s">
        <v>88</v>
      </c>
      <c r="H19" s="64">
        <v>8.99</v>
      </c>
    </row>
    <row r="20" spans="1:8" ht="16.5" x14ac:dyDescent="0.3">
      <c r="A20" s="6" t="s">
        <v>198</v>
      </c>
      <c r="B20" s="6" t="s">
        <v>86</v>
      </c>
      <c r="C20" s="7">
        <v>8.99</v>
      </c>
      <c r="D20" s="23"/>
      <c r="E20" s="23"/>
      <c r="F20" s="23"/>
      <c r="G20" s="63" t="s">
        <v>87</v>
      </c>
      <c r="H20" s="64">
        <v>8.99</v>
      </c>
    </row>
    <row r="21" spans="1:8" ht="16.5" x14ac:dyDescent="0.3">
      <c r="A21" s="6" t="s">
        <v>199</v>
      </c>
      <c r="B21" s="6" t="s">
        <v>85</v>
      </c>
      <c r="C21" s="7">
        <v>8.99</v>
      </c>
      <c r="D21" s="23"/>
      <c r="E21" s="23"/>
      <c r="F21" s="23"/>
      <c r="G21" s="63" t="s">
        <v>86</v>
      </c>
      <c r="H21" s="64">
        <v>8.99</v>
      </c>
    </row>
    <row r="22" spans="1:8" ht="16.5" x14ac:dyDescent="0.3">
      <c r="A22" s="6" t="s">
        <v>200</v>
      </c>
      <c r="B22" s="6" t="s">
        <v>84</v>
      </c>
      <c r="C22" s="7">
        <v>8.99</v>
      </c>
      <c r="D22" s="23"/>
      <c r="E22" s="23"/>
      <c r="F22" s="23"/>
      <c r="G22" s="63" t="s">
        <v>85</v>
      </c>
      <c r="H22" s="64">
        <v>8.99</v>
      </c>
    </row>
    <row r="23" spans="1:8" ht="16.5" x14ac:dyDescent="0.3">
      <c r="A23" s="6" t="s">
        <v>201</v>
      </c>
      <c r="B23" s="6" t="s">
        <v>83</v>
      </c>
      <c r="C23" s="7">
        <v>8.99</v>
      </c>
      <c r="D23" s="23"/>
      <c r="E23" s="23"/>
      <c r="F23" s="23"/>
      <c r="G23" s="63" t="s">
        <v>84</v>
      </c>
      <c r="H23" s="64">
        <v>8.99</v>
      </c>
    </row>
    <row r="24" spans="1:8" ht="16.5" x14ac:dyDescent="0.3">
      <c r="A24" s="6" t="s">
        <v>202</v>
      </c>
      <c r="B24" s="6" t="s">
        <v>82</v>
      </c>
      <c r="C24" s="7">
        <v>8.99</v>
      </c>
      <c r="D24" s="23"/>
      <c r="E24" s="23"/>
      <c r="F24" s="23"/>
      <c r="G24" s="63" t="s">
        <v>83</v>
      </c>
      <c r="H24" s="64">
        <v>8.99</v>
      </c>
    </row>
    <row r="25" spans="1:8" ht="16.5" x14ac:dyDescent="0.3">
      <c r="A25" s="6" t="s">
        <v>203</v>
      </c>
      <c r="B25" s="6" t="s">
        <v>81</v>
      </c>
      <c r="C25" s="7">
        <v>8.99</v>
      </c>
      <c r="D25" s="23"/>
      <c r="E25" s="23"/>
      <c r="F25" s="23"/>
      <c r="G25" s="63" t="s">
        <v>82</v>
      </c>
      <c r="H25" s="64">
        <v>8.99</v>
      </c>
    </row>
    <row r="26" spans="1:8" ht="16.5" x14ac:dyDescent="0.3">
      <c r="A26" s="6" t="s">
        <v>204</v>
      </c>
      <c r="B26" s="6" t="s">
        <v>80</v>
      </c>
      <c r="C26" s="7">
        <v>7.99</v>
      </c>
      <c r="D26" s="23"/>
      <c r="E26" s="23"/>
      <c r="F26" s="23"/>
      <c r="G26" s="63" t="s">
        <v>81</v>
      </c>
      <c r="H26" s="64">
        <v>8.99</v>
      </c>
    </row>
    <row r="27" spans="1:8" ht="16.5" x14ac:dyDescent="0.3">
      <c r="A27" s="6" t="s">
        <v>205</v>
      </c>
      <c r="B27" s="6" t="s">
        <v>79</v>
      </c>
      <c r="C27" s="7">
        <v>7.99</v>
      </c>
      <c r="D27" s="23"/>
      <c r="E27" s="23"/>
      <c r="F27" s="23"/>
      <c r="G27" s="63" t="s">
        <v>80</v>
      </c>
      <c r="H27" s="64">
        <v>7.99</v>
      </c>
    </row>
    <row r="28" spans="1:8" ht="16.5" x14ac:dyDescent="0.3">
      <c r="A28" s="6" t="s">
        <v>206</v>
      </c>
      <c r="B28" s="6" t="s">
        <v>78</v>
      </c>
      <c r="C28" s="7">
        <v>7.99</v>
      </c>
      <c r="D28" s="23"/>
      <c r="E28" s="23"/>
      <c r="F28" s="23"/>
      <c r="G28" s="63" t="s">
        <v>79</v>
      </c>
      <c r="H28" s="64">
        <v>7.99</v>
      </c>
    </row>
    <row r="29" spans="1:8" ht="16.5" x14ac:dyDescent="0.3">
      <c r="A29" s="6" t="s">
        <v>207</v>
      </c>
      <c r="B29" s="6" t="s">
        <v>77</v>
      </c>
      <c r="C29" s="7">
        <v>7.99</v>
      </c>
      <c r="D29" s="23"/>
      <c r="E29" s="23"/>
      <c r="F29" s="23"/>
      <c r="G29" s="63" t="s">
        <v>78</v>
      </c>
      <c r="H29" s="64">
        <v>7.99</v>
      </c>
    </row>
    <row r="30" spans="1:8" ht="16.5" x14ac:dyDescent="0.3">
      <c r="A30" s="6" t="s">
        <v>208</v>
      </c>
      <c r="B30" s="6" t="s">
        <v>76</v>
      </c>
      <c r="C30" s="7">
        <v>7.99</v>
      </c>
      <c r="D30" s="23"/>
      <c r="E30" s="23"/>
      <c r="F30" s="23"/>
      <c r="G30" s="63" t="s">
        <v>77</v>
      </c>
      <c r="H30" s="64">
        <v>7.99</v>
      </c>
    </row>
    <row r="31" spans="1:8" ht="16.5" x14ac:dyDescent="0.3">
      <c r="A31" s="6" t="s">
        <v>209</v>
      </c>
      <c r="B31" s="6" t="s">
        <v>75</v>
      </c>
      <c r="C31" s="7">
        <v>7.99</v>
      </c>
      <c r="D31" s="23"/>
      <c r="E31" s="23"/>
      <c r="F31" s="23"/>
      <c r="G31" s="63" t="s">
        <v>76</v>
      </c>
      <c r="H31" s="64">
        <v>7.99</v>
      </c>
    </row>
    <row r="32" spans="1:8" ht="16.5" x14ac:dyDescent="0.3">
      <c r="A32" s="6" t="s">
        <v>210</v>
      </c>
      <c r="B32" s="6" t="s">
        <v>74</v>
      </c>
      <c r="C32" s="7">
        <v>7.99</v>
      </c>
      <c r="D32" s="23"/>
      <c r="E32" s="23"/>
      <c r="F32" s="23"/>
      <c r="G32" s="63" t="s">
        <v>75</v>
      </c>
      <c r="H32" s="64">
        <v>7.99</v>
      </c>
    </row>
    <row r="33" spans="1:8" ht="16.5" x14ac:dyDescent="0.3">
      <c r="A33" s="6" t="s">
        <v>211</v>
      </c>
      <c r="B33" s="6" t="s">
        <v>73</v>
      </c>
      <c r="C33" s="7">
        <v>7.99</v>
      </c>
      <c r="D33" s="23"/>
      <c r="E33" s="23"/>
      <c r="F33" s="23"/>
      <c r="G33" s="63" t="s">
        <v>74</v>
      </c>
      <c r="H33" s="64">
        <v>7.99</v>
      </c>
    </row>
    <row r="34" spans="1:8" ht="16.5" x14ac:dyDescent="0.3">
      <c r="A34" s="6" t="s">
        <v>212</v>
      </c>
      <c r="B34" s="6" t="s">
        <v>72</v>
      </c>
      <c r="C34" s="7">
        <v>7.99</v>
      </c>
      <c r="D34" s="23"/>
      <c r="E34" s="23"/>
      <c r="F34" s="23"/>
      <c r="G34" s="63" t="s">
        <v>73</v>
      </c>
      <c r="H34" s="64">
        <v>7.99</v>
      </c>
    </row>
    <row r="35" spans="1:8" ht="16.5" x14ac:dyDescent="0.3">
      <c r="A35" s="6" t="s">
        <v>213</v>
      </c>
      <c r="B35" s="6" t="s">
        <v>71</v>
      </c>
      <c r="C35" s="7">
        <v>7.99</v>
      </c>
      <c r="D35" s="23"/>
      <c r="E35" s="23"/>
      <c r="F35" s="23"/>
      <c r="G35" s="63" t="s">
        <v>72</v>
      </c>
      <c r="H35" s="64">
        <v>7.99</v>
      </c>
    </row>
    <row r="36" spans="1:8" ht="16.5" x14ac:dyDescent="0.3">
      <c r="A36" s="6" t="s">
        <v>214</v>
      </c>
      <c r="B36" s="6" t="s">
        <v>70</v>
      </c>
      <c r="C36" s="7">
        <v>8.99</v>
      </c>
      <c r="D36" s="23"/>
      <c r="E36" s="23"/>
      <c r="F36" s="23"/>
      <c r="G36" s="63" t="s">
        <v>71</v>
      </c>
      <c r="H36" s="64">
        <v>7.99</v>
      </c>
    </row>
    <row r="37" spans="1:8" ht="16.5" x14ac:dyDescent="0.3">
      <c r="A37" s="6" t="s">
        <v>215</v>
      </c>
      <c r="B37" s="6" t="s">
        <v>69</v>
      </c>
      <c r="C37" s="7">
        <v>8.99</v>
      </c>
      <c r="D37" s="23"/>
      <c r="E37" s="23"/>
      <c r="F37" s="23"/>
      <c r="G37" s="63" t="s">
        <v>70</v>
      </c>
      <c r="H37" s="64">
        <v>8.99</v>
      </c>
    </row>
    <row r="38" spans="1:8" ht="16.5" x14ac:dyDescent="0.3">
      <c r="A38" s="6" t="s">
        <v>216</v>
      </c>
      <c r="B38" s="6" t="s">
        <v>68</v>
      </c>
      <c r="C38" s="7">
        <v>8.99</v>
      </c>
      <c r="D38" s="23"/>
      <c r="E38" s="23"/>
      <c r="F38" s="23"/>
      <c r="G38" s="63" t="s">
        <v>69</v>
      </c>
      <c r="H38" s="64">
        <v>8.99</v>
      </c>
    </row>
    <row r="39" spans="1:8" ht="16.5" x14ac:dyDescent="0.3">
      <c r="A39" s="6" t="s">
        <v>217</v>
      </c>
      <c r="B39" s="6" t="s">
        <v>67</v>
      </c>
      <c r="C39" s="7">
        <v>8.99</v>
      </c>
      <c r="D39" s="23"/>
      <c r="E39" s="23"/>
      <c r="F39" s="23"/>
      <c r="G39" s="63" t="s">
        <v>68</v>
      </c>
      <c r="H39" s="64">
        <v>8.99</v>
      </c>
    </row>
    <row r="40" spans="1:8" ht="16.5" x14ac:dyDescent="0.3">
      <c r="A40" s="6" t="s">
        <v>218</v>
      </c>
      <c r="B40" s="6" t="s">
        <v>66</v>
      </c>
      <c r="C40" s="7">
        <v>8.99</v>
      </c>
      <c r="D40" s="23"/>
      <c r="E40" s="23"/>
      <c r="F40" s="23"/>
      <c r="G40" s="63" t="s">
        <v>67</v>
      </c>
      <c r="H40" s="64">
        <v>8.99</v>
      </c>
    </row>
    <row r="41" spans="1:8" ht="16.5" x14ac:dyDescent="0.3">
      <c r="A41" s="6" t="s">
        <v>219</v>
      </c>
      <c r="B41" s="6" t="s">
        <v>65</v>
      </c>
      <c r="C41" s="7">
        <v>8.99</v>
      </c>
      <c r="D41" s="23"/>
      <c r="E41" s="23"/>
      <c r="F41" s="23"/>
      <c r="G41" s="63" t="s">
        <v>66</v>
      </c>
      <c r="H41" s="64">
        <v>8.99</v>
      </c>
    </row>
    <row r="42" spans="1:8" ht="16.5" x14ac:dyDescent="0.3">
      <c r="A42" s="6" t="s">
        <v>220</v>
      </c>
      <c r="B42" s="6" t="s">
        <v>64</v>
      </c>
      <c r="C42" s="7">
        <v>8.99</v>
      </c>
      <c r="D42" s="23"/>
      <c r="E42" s="23"/>
      <c r="F42" s="23"/>
      <c r="G42" s="63" t="s">
        <v>65</v>
      </c>
      <c r="H42" s="64">
        <v>8.99</v>
      </c>
    </row>
    <row r="43" spans="1:8" ht="16.5" x14ac:dyDescent="0.3">
      <c r="A43" s="6" t="s">
        <v>221</v>
      </c>
      <c r="B43" s="6" t="s">
        <v>63</v>
      </c>
      <c r="C43" s="7">
        <v>8.99</v>
      </c>
      <c r="D43" s="23"/>
      <c r="E43" s="23"/>
      <c r="F43" s="23"/>
      <c r="G43" s="63" t="s">
        <v>64</v>
      </c>
      <c r="H43" s="64">
        <v>8.99</v>
      </c>
    </row>
    <row r="44" spans="1:8" ht="16.5" x14ac:dyDescent="0.3">
      <c r="A44" s="6" t="s">
        <v>222</v>
      </c>
      <c r="B44" s="6" t="s">
        <v>62</v>
      </c>
      <c r="C44" s="7">
        <v>8.99</v>
      </c>
      <c r="D44" s="23"/>
      <c r="E44" s="23"/>
      <c r="F44" s="23"/>
      <c r="G44" s="63" t="s">
        <v>63</v>
      </c>
      <c r="H44" s="64">
        <v>8.99</v>
      </c>
    </row>
    <row r="45" spans="1:8" ht="16.5" x14ac:dyDescent="0.3">
      <c r="A45" s="6" t="s">
        <v>223</v>
      </c>
      <c r="B45" s="6" t="s">
        <v>61</v>
      </c>
      <c r="C45" s="7">
        <v>8.99</v>
      </c>
      <c r="D45" s="23"/>
      <c r="E45" s="23"/>
      <c r="F45" s="23"/>
      <c r="G45" s="63" t="s">
        <v>62</v>
      </c>
      <c r="H45" s="64">
        <v>8.99</v>
      </c>
    </row>
    <row r="46" spans="1:8" ht="16.5" x14ac:dyDescent="0.3">
      <c r="A46" s="23"/>
      <c r="B46" s="23"/>
      <c r="C46" s="23"/>
      <c r="D46" s="7"/>
      <c r="E46" s="23"/>
      <c r="F46" s="23"/>
      <c r="G46" s="63" t="s">
        <v>61</v>
      </c>
      <c r="H46" s="64">
        <v>8.99</v>
      </c>
    </row>
    <row r="47" spans="1:8" ht="16.5" x14ac:dyDescent="0.3">
      <c r="A47" s="23"/>
      <c r="B47" s="23"/>
      <c r="C47" s="23"/>
      <c r="D47" s="7"/>
      <c r="E47" s="23"/>
      <c r="F47" s="23"/>
      <c r="G47" s="63" t="s">
        <v>251</v>
      </c>
      <c r="H47" s="64">
        <v>7.99</v>
      </c>
    </row>
    <row r="48" spans="1:8" ht="16.5" x14ac:dyDescent="0.3">
      <c r="A48" s="23"/>
      <c r="B48" s="23"/>
      <c r="C48" s="23"/>
      <c r="D48" s="7"/>
      <c r="E48" s="23"/>
      <c r="F48" s="23"/>
      <c r="G48" s="63" t="s">
        <v>253</v>
      </c>
      <c r="H48" s="64"/>
    </row>
    <row r="49" spans="1:12" ht="16.5" x14ac:dyDescent="0.3">
      <c r="A49" s="23"/>
      <c r="B49" s="23"/>
      <c r="C49" s="23"/>
      <c r="D49" s="7"/>
      <c r="E49" s="23"/>
      <c r="F49" s="23"/>
      <c r="G49" s="63" t="s">
        <v>254</v>
      </c>
      <c r="H49" s="64">
        <v>347.5900000000002</v>
      </c>
    </row>
    <row r="50" spans="1:12" ht="16.5" x14ac:dyDescent="0.3">
      <c r="A50" s="23"/>
      <c r="B50" s="23"/>
      <c r="C50" s="23"/>
      <c r="D50" s="7"/>
      <c r="E50" s="23"/>
      <c r="F50" s="23"/>
    </row>
    <row r="51" spans="1:12" ht="16.5" x14ac:dyDescent="0.3">
      <c r="A51" s="23"/>
      <c r="B51" s="23"/>
      <c r="C51" s="23"/>
      <c r="D51" s="7"/>
      <c r="E51" s="23"/>
      <c r="F51" s="23"/>
    </row>
    <row r="52" spans="1:12" ht="16.5" x14ac:dyDescent="0.3">
      <c r="A52" s="23"/>
      <c r="B52" s="23"/>
      <c r="C52" s="23"/>
      <c r="D52" s="7"/>
      <c r="E52" s="23"/>
      <c r="F52" s="23"/>
    </row>
    <row r="53" spans="1:12" ht="16.5" x14ac:dyDescent="0.3">
      <c r="A53" s="23"/>
      <c r="B53" s="23"/>
      <c r="C53" s="23"/>
      <c r="D53" s="7"/>
      <c r="E53" s="23"/>
      <c r="F53" s="23"/>
    </row>
    <row r="54" spans="1:12" ht="16.5" x14ac:dyDescent="0.3">
      <c r="A54" s="23"/>
      <c r="B54" s="23"/>
      <c r="C54" s="23"/>
      <c r="D54" s="7"/>
      <c r="E54" s="23"/>
      <c r="F54" s="23"/>
      <c r="I54" s="23"/>
      <c r="J54" s="23"/>
      <c r="K54" s="23"/>
      <c r="L54" s="23"/>
    </row>
    <row r="55" spans="1:12" ht="16.5" x14ac:dyDescent="0.3">
      <c r="A55" s="23"/>
      <c r="B55" s="23"/>
      <c r="C55" s="23"/>
      <c r="D55" s="7"/>
      <c r="E55" s="23"/>
      <c r="F55" s="23"/>
      <c r="I55" s="23"/>
      <c r="J55" s="23"/>
      <c r="K55" s="23"/>
      <c r="L55" s="23"/>
    </row>
    <row r="56" spans="1:12" ht="16.5" x14ac:dyDescent="0.3">
      <c r="A56" s="23"/>
      <c r="B56" s="23"/>
      <c r="C56" s="23"/>
      <c r="D56" s="7"/>
      <c r="E56" s="23"/>
      <c r="F56" s="23"/>
      <c r="I56" s="23"/>
      <c r="J56" s="23"/>
      <c r="K56" s="23"/>
      <c r="L56" s="23"/>
    </row>
    <row r="57" spans="1:12" ht="16.5" x14ac:dyDescent="0.3">
      <c r="A57" s="23"/>
      <c r="B57" s="23"/>
      <c r="C57" s="23"/>
      <c r="D57" s="7"/>
      <c r="E57" s="23"/>
      <c r="F57" s="23"/>
      <c r="I57" s="23"/>
      <c r="J57" s="23"/>
      <c r="K57" s="23"/>
      <c r="L57" s="23"/>
    </row>
    <row r="58" spans="1:12" ht="16.5" x14ac:dyDescent="0.3">
      <c r="A58" s="23"/>
      <c r="B58" s="23"/>
      <c r="C58" s="23"/>
      <c r="D58" s="7"/>
      <c r="E58" s="23"/>
      <c r="F58" s="23"/>
      <c r="I58" s="23"/>
      <c r="J58" s="23"/>
      <c r="K58" s="23"/>
      <c r="L58" s="23"/>
    </row>
    <row r="59" spans="1:12" ht="16.5" x14ac:dyDescent="0.3">
      <c r="A59" s="23"/>
      <c r="B59" s="23"/>
      <c r="C59" s="23"/>
      <c r="D59" s="7"/>
      <c r="E59" s="23"/>
      <c r="F59" s="23"/>
      <c r="I59" s="23"/>
      <c r="J59" s="23"/>
      <c r="K59" s="23"/>
      <c r="L59" s="23"/>
    </row>
    <row r="60" spans="1:12" ht="16.5" x14ac:dyDescent="0.3">
      <c r="A60" s="23"/>
      <c r="B60" s="23"/>
      <c r="C60" s="23"/>
      <c r="D60" s="7"/>
      <c r="E60" s="23"/>
      <c r="F60" s="23"/>
      <c r="I60" s="23"/>
      <c r="J60" s="23"/>
      <c r="K60" s="23"/>
      <c r="L60" s="23"/>
    </row>
    <row r="61" spans="1:12" ht="16.5" x14ac:dyDescent="0.3">
      <c r="A61" s="23"/>
      <c r="B61" s="23"/>
      <c r="C61" s="23"/>
      <c r="D61" s="7"/>
      <c r="E61" s="23"/>
      <c r="F61" s="23"/>
      <c r="I61" s="23"/>
      <c r="J61" s="23"/>
      <c r="K61" s="23"/>
      <c r="L61" s="23"/>
    </row>
    <row r="62" spans="1:12" ht="16.5" x14ac:dyDescent="0.3">
      <c r="A62" s="23"/>
      <c r="B62" s="23"/>
      <c r="C62" s="23"/>
      <c r="D62" s="7"/>
      <c r="E62" s="23"/>
      <c r="F62" s="23"/>
      <c r="I62" s="23"/>
      <c r="J62" s="23"/>
      <c r="K62" s="23"/>
      <c r="L62" s="23"/>
    </row>
    <row r="63" spans="1:12" ht="16.5" x14ac:dyDescent="0.3">
      <c r="A63" s="23"/>
      <c r="B63" s="23"/>
      <c r="C63" s="23"/>
      <c r="D63" s="7"/>
      <c r="E63" s="23"/>
      <c r="F63" s="23"/>
      <c r="I63" s="23"/>
      <c r="J63" s="23"/>
      <c r="K63" s="23"/>
      <c r="L63" s="23"/>
    </row>
  </sheetData>
  <mergeCells count="2">
    <mergeCell ref="C1:G3"/>
    <mergeCell ref="B1:B3"/>
  </mergeCells>
  <pageMargins left="0.7" right="0.7" top="0.75" bottom="0.75" header="0.3" footer="0.3"/>
  <pageSetup orientation="portrait" r:id="rId2"/>
  <drawing r:id="rId3"/>
  <legacyDrawing r:id="rId4"/>
  <picture r:id="rId5"/>
  <controls>
    <mc:AlternateContent xmlns:mc="http://schemas.openxmlformats.org/markup-compatibility/2006">
      <mc:Choice Requires="x14">
        <control shapeId="13315" r:id="rId6" name="CommandButton1">
          <controlPr defaultSize="0" autoLine="0" r:id="rId7">
            <anchor moveWithCells="1">
              <from>
                <xdr:col>8</xdr:col>
                <xdr:colOff>285750</xdr:colOff>
                <xdr:row>0</xdr:row>
                <xdr:rowOff>133350</xdr:rowOff>
              </from>
              <to>
                <xdr:col>11</xdr:col>
                <xdr:colOff>381000</xdr:colOff>
                <xdr:row>2</xdr:row>
                <xdr:rowOff>123825</xdr:rowOff>
              </to>
            </anchor>
          </controlPr>
        </control>
      </mc:Choice>
      <mc:Fallback>
        <control shapeId="13315" r:id="rId6" name="CommandButton1"/>
      </mc:Fallback>
    </mc:AlternateContent>
    <mc:AlternateContent xmlns:mc="http://schemas.openxmlformats.org/markup-compatibility/2006">
      <mc:Choice Requires="x14">
        <control shapeId="13313" r:id="rId8" name="Button 1">
          <controlPr defaultSize="0" print="0" autoFill="0" autoPict="0" macro="[0]!Next_Worksheet">
            <anchor moveWithCells="1" sizeWithCells="1">
              <from>
                <xdr:col>3</xdr:col>
                <xdr:colOff>447675</xdr:colOff>
                <xdr:row>0</xdr:row>
                <xdr:rowOff>180975</xdr:rowOff>
              </from>
              <to>
                <xdr:col>5</xdr:col>
                <xdr:colOff>19050</xdr:colOff>
                <xdr:row>2</xdr:row>
                <xdr:rowOff>47625</xdr:rowOff>
              </to>
            </anchor>
          </controlPr>
        </control>
      </mc:Choice>
    </mc:AlternateContent>
    <mc:AlternateContent xmlns:mc="http://schemas.openxmlformats.org/markup-compatibility/2006">
      <mc:Choice Requires="x14">
        <control shapeId="13314" r:id="rId9" name="Button 2">
          <controlPr defaultSize="0" print="0" autoFill="0" autoPict="0" macro="[0]!Prev_Worksheet">
            <anchor moveWithCells="1" sizeWithCells="1">
              <from>
                <xdr:col>2</xdr:col>
                <xdr:colOff>657225</xdr:colOff>
                <xdr:row>0</xdr:row>
                <xdr:rowOff>180975</xdr:rowOff>
              </from>
              <to>
                <xdr:col>3</xdr:col>
                <xdr:colOff>428625</xdr:colOff>
                <xdr:row>2</xdr:row>
                <xdr:rowOff>47625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39A25-9AF3-48EF-9F72-C392452D58B7}">
  <sheetPr codeName="Sheet2"/>
  <dimension ref="A1:AK58"/>
  <sheetViews>
    <sheetView workbookViewId="0"/>
  </sheetViews>
  <sheetFormatPr defaultColWidth="8.85546875" defaultRowHeight="15" x14ac:dyDescent="0.25"/>
  <cols>
    <col min="1" max="1" width="17.140625" style="19" customWidth="1"/>
    <col min="2" max="2" width="7.5703125" style="19" bestFit="1" customWidth="1"/>
    <col min="3" max="3" width="18.140625" style="19" customWidth="1"/>
    <col min="4" max="16384" width="8.85546875" style="19"/>
  </cols>
  <sheetData>
    <row r="1" spans="1:37" ht="16.5" x14ac:dyDescent="0.3">
      <c r="A1" s="13"/>
      <c r="B1" s="13"/>
      <c r="C1" s="13"/>
      <c r="D1" s="93" t="s">
        <v>124</v>
      </c>
      <c r="E1" s="87"/>
      <c r="F1" s="87"/>
      <c r="G1" s="87"/>
      <c r="H1" s="13"/>
      <c r="I1" s="13"/>
      <c r="J1" s="13"/>
      <c r="K1" s="13"/>
      <c r="L1" s="13"/>
      <c r="M1" s="13"/>
      <c r="N1" s="13"/>
      <c r="O1" s="13"/>
      <c r="P1" s="13"/>
      <c r="Q1" s="13"/>
      <c r="R1" s="13"/>
      <c r="S1" s="13"/>
      <c r="T1" s="13"/>
      <c r="U1" s="13"/>
      <c r="V1" s="13"/>
      <c r="W1" s="13"/>
      <c r="X1" s="13"/>
      <c r="Y1" s="13"/>
      <c r="Z1" s="13"/>
      <c r="AA1" s="1"/>
      <c r="AB1" s="1"/>
      <c r="AC1" s="1"/>
      <c r="AD1" s="1"/>
      <c r="AE1" s="1"/>
      <c r="AF1" s="1"/>
      <c r="AG1" s="1"/>
      <c r="AH1" s="1"/>
      <c r="AI1" s="1"/>
      <c r="AJ1" s="1"/>
      <c r="AK1" s="1"/>
    </row>
    <row r="2" spans="1:37" ht="16.5" x14ac:dyDescent="0.3">
      <c r="A2" s="13"/>
      <c r="B2" s="13"/>
      <c r="C2" s="13"/>
      <c r="D2" s="87"/>
      <c r="E2" s="87"/>
      <c r="F2" s="87"/>
      <c r="G2" s="87"/>
      <c r="H2" s="13"/>
      <c r="I2" s="13"/>
      <c r="J2" s="13"/>
      <c r="K2" s="13"/>
      <c r="L2" s="13"/>
      <c r="M2" s="13"/>
      <c r="N2" s="13"/>
      <c r="O2" s="13"/>
      <c r="P2" s="13"/>
      <c r="Q2" s="13"/>
      <c r="R2" s="13"/>
      <c r="S2" s="13"/>
      <c r="T2" s="13"/>
      <c r="U2" s="13"/>
      <c r="V2" s="13"/>
      <c r="W2" s="13"/>
      <c r="X2" s="13"/>
      <c r="Y2" s="13"/>
      <c r="Z2" s="13"/>
      <c r="AA2" s="1"/>
      <c r="AB2" s="1"/>
      <c r="AC2" s="1"/>
      <c r="AD2" s="1"/>
      <c r="AE2" s="1"/>
      <c r="AF2" s="1"/>
      <c r="AG2" s="1"/>
      <c r="AH2" s="1"/>
      <c r="AI2" s="1"/>
      <c r="AJ2" s="1"/>
      <c r="AK2" s="1"/>
    </row>
    <row r="3" spans="1:37" ht="16.5" x14ac:dyDescent="0.3">
      <c r="A3" s="13"/>
      <c r="B3" s="13"/>
      <c r="C3" s="13"/>
      <c r="D3" s="87"/>
      <c r="E3" s="87"/>
      <c r="F3" s="87"/>
      <c r="G3" s="87"/>
      <c r="H3" s="13"/>
      <c r="I3" s="13"/>
      <c r="J3" s="13"/>
      <c r="K3" s="13"/>
      <c r="L3" s="13"/>
      <c r="M3" s="13"/>
      <c r="N3" s="13"/>
      <c r="O3" s="13"/>
      <c r="P3" s="13"/>
      <c r="Q3" s="13"/>
      <c r="R3" s="13"/>
      <c r="S3" s="13"/>
      <c r="T3" s="13"/>
      <c r="U3" s="13"/>
      <c r="V3" s="13"/>
      <c r="W3" s="13"/>
      <c r="X3" s="13"/>
      <c r="Y3" s="13"/>
      <c r="Z3" s="13"/>
      <c r="AA3" s="1"/>
      <c r="AB3" s="1"/>
      <c r="AC3" s="1"/>
      <c r="AD3" s="1"/>
      <c r="AE3" s="1"/>
      <c r="AF3" s="1"/>
      <c r="AG3" s="1"/>
      <c r="AH3" s="1"/>
      <c r="AI3" s="1"/>
      <c r="AJ3" s="1"/>
      <c r="AK3" s="1"/>
    </row>
    <row r="4" spans="1:37" ht="16.5" x14ac:dyDescent="0.3">
      <c r="A4" s="5" t="s">
        <v>102</v>
      </c>
      <c r="B4" s="66" t="s">
        <v>101</v>
      </c>
      <c r="C4" s="69" t="s">
        <v>245</v>
      </c>
      <c r="D4" s="23"/>
      <c r="E4" s="23"/>
      <c r="F4" s="23"/>
      <c r="G4" s="23"/>
      <c r="H4" s="23"/>
      <c r="I4" s="23"/>
      <c r="J4" s="23"/>
      <c r="K4" s="23"/>
      <c r="L4" s="23"/>
      <c r="M4" s="23"/>
      <c r="N4" s="23"/>
      <c r="O4" s="23"/>
      <c r="P4" s="23"/>
      <c r="Q4" s="23"/>
      <c r="R4" s="23"/>
      <c r="S4" s="23"/>
      <c r="T4" s="23"/>
      <c r="U4" s="23"/>
      <c r="V4" s="23"/>
      <c r="W4" s="23"/>
      <c r="X4" s="23"/>
      <c r="Y4" s="23"/>
      <c r="Z4" s="23"/>
    </row>
    <row r="5" spans="1:37" ht="16.5" x14ac:dyDescent="0.3">
      <c r="A5" s="6" t="s">
        <v>100</v>
      </c>
      <c r="B5" s="7">
        <v>7.99</v>
      </c>
      <c r="C5" s="68">
        <v>11</v>
      </c>
      <c r="D5" s="23"/>
      <c r="E5" s="23"/>
      <c r="F5" s="23"/>
      <c r="G5" s="23"/>
      <c r="H5" s="23"/>
      <c r="I5" s="23"/>
      <c r="J5" s="23"/>
      <c r="K5" s="23"/>
      <c r="L5" s="23"/>
      <c r="M5" s="23"/>
      <c r="N5" s="23"/>
      <c r="O5" s="23"/>
      <c r="P5" s="23"/>
      <c r="Q5" s="23"/>
      <c r="R5" s="23"/>
      <c r="S5" s="23"/>
      <c r="T5" s="23"/>
      <c r="U5" s="23"/>
      <c r="V5" s="23"/>
      <c r="W5" s="23"/>
      <c r="X5" s="23"/>
      <c r="Y5" s="23"/>
      <c r="Z5" s="23"/>
    </row>
    <row r="6" spans="1:37" ht="16.5" x14ac:dyDescent="0.3">
      <c r="A6" s="6" t="s">
        <v>99</v>
      </c>
      <c r="B6" s="7">
        <v>7.99</v>
      </c>
      <c r="C6" s="68">
        <v>22</v>
      </c>
      <c r="D6" s="23"/>
      <c r="E6" s="23"/>
      <c r="F6" s="23"/>
      <c r="G6" s="23"/>
      <c r="H6" s="23"/>
      <c r="I6" s="23"/>
      <c r="J6" s="23"/>
      <c r="K6" s="23"/>
      <c r="L6" s="23"/>
      <c r="M6" s="23"/>
      <c r="N6" s="23"/>
      <c r="O6" s="23"/>
      <c r="P6" s="23"/>
      <c r="Q6" s="23"/>
      <c r="R6" s="23"/>
      <c r="S6" s="23"/>
      <c r="T6" s="23"/>
      <c r="U6" s="23"/>
      <c r="V6" s="23"/>
      <c r="W6" s="23"/>
      <c r="X6" s="23"/>
      <c r="Y6" s="23"/>
      <c r="Z6" s="23"/>
    </row>
    <row r="7" spans="1:37" ht="16.5" x14ac:dyDescent="0.3">
      <c r="A7" s="6" t="s">
        <v>98</v>
      </c>
      <c r="B7" s="7">
        <v>7.99</v>
      </c>
      <c r="C7" s="68">
        <v>15</v>
      </c>
      <c r="D7" s="23"/>
      <c r="E7" s="23"/>
      <c r="F7" s="23"/>
      <c r="G7" s="23"/>
      <c r="H7" s="23"/>
      <c r="I7" s="23"/>
      <c r="J7" s="23"/>
      <c r="K7" s="23"/>
      <c r="L7" s="23"/>
      <c r="M7" s="23"/>
      <c r="N7" s="23"/>
      <c r="O7" s="23"/>
      <c r="P7" s="23"/>
      <c r="Q7" s="23"/>
      <c r="R7" s="23"/>
      <c r="S7" s="23"/>
      <c r="T7" s="23"/>
      <c r="U7" s="23"/>
      <c r="V7" s="23"/>
      <c r="W7" s="23"/>
      <c r="X7" s="23"/>
      <c r="Y7" s="23"/>
      <c r="Z7" s="23"/>
    </row>
    <row r="8" spans="1:37" ht="16.5" x14ac:dyDescent="0.3">
      <c r="A8" s="6" t="s">
        <v>97</v>
      </c>
      <c r="B8" s="7">
        <v>7.99</v>
      </c>
      <c r="C8" s="68">
        <v>1</v>
      </c>
      <c r="D8" s="23"/>
      <c r="E8" s="23"/>
      <c r="F8" s="23"/>
      <c r="G8" s="23"/>
      <c r="H8" s="23"/>
      <c r="I8" s="23"/>
      <c r="J8" s="23"/>
      <c r="K8" s="23"/>
      <c r="L8" s="23"/>
      <c r="M8" s="23"/>
      <c r="N8" s="23"/>
      <c r="O8" s="23"/>
      <c r="P8" s="23"/>
      <c r="Q8" s="23"/>
      <c r="R8" s="23"/>
      <c r="S8" s="23"/>
      <c r="T8" s="23"/>
      <c r="U8" s="23"/>
      <c r="V8" s="23"/>
      <c r="W8" s="23"/>
      <c r="X8" s="23"/>
      <c r="Y8" s="23"/>
      <c r="Z8" s="23"/>
    </row>
    <row r="9" spans="1:37" ht="16.5" x14ac:dyDescent="0.3">
      <c r="A9" s="6" t="s">
        <v>96</v>
      </c>
      <c r="B9" s="7">
        <v>7.99</v>
      </c>
      <c r="C9" s="68">
        <v>12</v>
      </c>
      <c r="D9" s="23"/>
      <c r="E9" s="23"/>
      <c r="F9" s="23"/>
      <c r="G9" s="23"/>
      <c r="H9" s="23"/>
      <c r="I9" s="23"/>
      <c r="J9" s="23"/>
      <c r="K9" s="23"/>
      <c r="L9" s="23"/>
      <c r="M9" s="23"/>
      <c r="N9" s="23"/>
      <c r="O9" s="23"/>
      <c r="P9" s="23"/>
      <c r="Q9" s="23"/>
      <c r="R9" s="23"/>
      <c r="S9" s="23"/>
      <c r="T9" s="23"/>
      <c r="U9" s="23"/>
      <c r="V9" s="23"/>
      <c r="W9" s="23"/>
      <c r="X9" s="23"/>
      <c r="Y9" s="23"/>
      <c r="Z9" s="23"/>
    </row>
    <row r="10" spans="1:37" ht="16.5" x14ac:dyDescent="0.3">
      <c r="A10" s="6" t="s">
        <v>95</v>
      </c>
      <c r="B10" s="7">
        <v>7.99</v>
      </c>
      <c r="C10" s="68">
        <v>5</v>
      </c>
      <c r="D10" s="23"/>
      <c r="E10" s="23"/>
      <c r="F10" s="23"/>
      <c r="G10" s="23"/>
      <c r="H10" s="23"/>
      <c r="I10" s="23"/>
      <c r="J10" s="23"/>
      <c r="K10" s="23"/>
      <c r="L10" s="23"/>
      <c r="M10" s="23"/>
      <c r="N10" s="23"/>
      <c r="O10" s="23"/>
      <c r="P10" s="23"/>
      <c r="Q10" s="23"/>
      <c r="R10" s="23"/>
      <c r="S10" s="23"/>
      <c r="T10" s="23"/>
      <c r="U10" s="23"/>
      <c r="V10" s="23"/>
      <c r="W10" s="23"/>
      <c r="X10" s="23"/>
      <c r="Y10" s="23"/>
      <c r="Z10" s="23"/>
    </row>
    <row r="11" spans="1:37" ht="16.5" x14ac:dyDescent="0.3">
      <c r="A11" s="6" t="s">
        <v>94</v>
      </c>
      <c r="B11" s="7">
        <v>7.99</v>
      </c>
      <c r="C11" s="68">
        <v>9</v>
      </c>
      <c r="D11" s="23"/>
      <c r="E11" s="23"/>
      <c r="F11" s="23"/>
      <c r="G11" s="23"/>
      <c r="H11" s="23"/>
      <c r="I11" s="23"/>
      <c r="J11" s="23"/>
      <c r="K11" s="23"/>
      <c r="L11" s="23"/>
      <c r="M11" s="23"/>
      <c r="N11" s="23"/>
      <c r="O11" s="23"/>
      <c r="P11" s="23"/>
      <c r="Q11" s="23"/>
      <c r="R11" s="23"/>
      <c r="S11" s="23"/>
      <c r="T11" s="23"/>
      <c r="U11" s="23"/>
      <c r="V11" s="23"/>
      <c r="W11" s="23"/>
      <c r="X11" s="23"/>
      <c r="Y11" s="23"/>
      <c r="Z11" s="23"/>
    </row>
    <row r="12" spans="1:37" ht="16.5" x14ac:dyDescent="0.3">
      <c r="A12" s="6" t="s">
        <v>93</v>
      </c>
      <c r="B12" s="7">
        <v>7.99</v>
      </c>
      <c r="C12" s="68">
        <v>30</v>
      </c>
      <c r="D12" s="23"/>
      <c r="E12" s="23"/>
      <c r="F12" s="23"/>
      <c r="G12" s="23"/>
      <c r="H12" s="23"/>
      <c r="I12" s="23"/>
      <c r="J12" s="23"/>
      <c r="K12" s="23"/>
      <c r="L12" s="23"/>
      <c r="M12" s="23"/>
      <c r="N12" s="23"/>
      <c r="O12" s="23"/>
      <c r="P12" s="23"/>
      <c r="Q12" s="23"/>
      <c r="R12" s="23"/>
      <c r="S12" s="23"/>
      <c r="T12" s="23"/>
      <c r="U12" s="23"/>
      <c r="V12" s="23"/>
      <c r="W12" s="23"/>
      <c r="X12" s="23"/>
      <c r="Y12" s="23"/>
      <c r="Z12" s="23"/>
    </row>
    <row r="13" spans="1:37" ht="16.5" x14ac:dyDescent="0.3">
      <c r="A13" s="6" t="s">
        <v>92</v>
      </c>
      <c r="B13" s="7">
        <v>7.99</v>
      </c>
      <c r="C13" s="68">
        <v>4</v>
      </c>
      <c r="D13" s="23"/>
      <c r="E13" s="23"/>
      <c r="F13" s="23"/>
      <c r="G13" s="23"/>
      <c r="H13" s="23"/>
      <c r="I13" s="23"/>
      <c r="J13" s="23"/>
      <c r="K13" s="23"/>
      <c r="L13" s="23"/>
      <c r="M13" s="23"/>
      <c r="N13" s="23"/>
      <c r="O13" s="23"/>
      <c r="P13" s="23"/>
      <c r="Q13" s="23"/>
      <c r="R13" s="23"/>
      <c r="S13" s="23"/>
      <c r="T13" s="23"/>
      <c r="U13" s="23"/>
      <c r="V13" s="23"/>
      <c r="W13" s="23"/>
      <c r="X13" s="23"/>
      <c r="Y13" s="23"/>
      <c r="Z13" s="23"/>
    </row>
    <row r="14" spans="1:37" ht="16.5" x14ac:dyDescent="0.3">
      <c r="A14" s="6" t="s">
        <v>91</v>
      </c>
      <c r="B14" s="7">
        <v>7.99</v>
      </c>
      <c r="C14" s="68">
        <v>19</v>
      </c>
      <c r="D14" s="23"/>
      <c r="E14" s="23"/>
      <c r="F14" s="23"/>
      <c r="G14" s="23"/>
      <c r="H14" s="23"/>
      <c r="I14" s="23"/>
      <c r="J14" s="23"/>
      <c r="K14" s="23"/>
      <c r="L14" s="23"/>
      <c r="M14" s="23"/>
      <c r="N14" s="23"/>
      <c r="O14" s="23"/>
      <c r="P14" s="23"/>
      <c r="Q14" s="23"/>
      <c r="R14" s="23"/>
      <c r="S14" s="23"/>
      <c r="T14" s="23"/>
      <c r="U14" s="23"/>
      <c r="V14" s="23"/>
      <c r="W14" s="23"/>
      <c r="X14" s="23"/>
      <c r="Y14" s="23"/>
      <c r="Z14" s="23"/>
    </row>
    <row r="15" spans="1:37" ht="16.5" x14ac:dyDescent="0.3">
      <c r="A15" s="6" t="s">
        <v>90</v>
      </c>
      <c r="B15" s="7">
        <v>8.99</v>
      </c>
      <c r="C15" s="68">
        <v>11</v>
      </c>
      <c r="D15" s="23"/>
      <c r="E15" s="23"/>
      <c r="F15" s="23"/>
      <c r="G15" s="23"/>
      <c r="H15" s="23"/>
      <c r="I15" s="23"/>
      <c r="J15" s="23"/>
      <c r="K15" s="23"/>
      <c r="L15" s="23"/>
      <c r="M15" s="23"/>
      <c r="N15" s="23"/>
      <c r="O15" s="23"/>
      <c r="P15" s="23"/>
      <c r="Q15" s="23"/>
      <c r="R15" s="23"/>
      <c r="S15" s="23"/>
      <c r="T15" s="23"/>
      <c r="U15" s="23"/>
      <c r="V15" s="23"/>
      <c r="W15" s="23"/>
      <c r="X15" s="23"/>
      <c r="Y15" s="23"/>
      <c r="Z15" s="23"/>
    </row>
    <row r="16" spans="1:37" ht="16.5" x14ac:dyDescent="0.3">
      <c r="A16" s="6" t="s">
        <v>89</v>
      </c>
      <c r="B16" s="7">
        <v>8.99</v>
      </c>
      <c r="C16" s="68">
        <v>7</v>
      </c>
      <c r="D16" s="23"/>
      <c r="E16" s="23"/>
      <c r="F16" s="23"/>
      <c r="G16" s="23"/>
      <c r="H16" s="23"/>
      <c r="I16" s="23"/>
      <c r="J16" s="23"/>
      <c r="K16" s="23"/>
      <c r="L16" s="23"/>
      <c r="M16" s="23"/>
      <c r="N16" s="23"/>
      <c r="O16" s="23"/>
      <c r="P16" s="23"/>
      <c r="Q16" s="23"/>
      <c r="R16" s="23"/>
      <c r="S16" s="23"/>
      <c r="T16" s="23"/>
      <c r="U16" s="23"/>
      <c r="V16" s="23"/>
      <c r="W16" s="23"/>
      <c r="X16" s="23"/>
      <c r="Y16" s="23"/>
      <c r="Z16" s="23"/>
    </row>
    <row r="17" spans="1:26" ht="16.5" x14ac:dyDescent="0.3">
      <c r="A17" s="6" t="s">
        <v>88</v>
      </c>
      <c r="B17" s="7">
        <v>8.99</v>
      </c>
      <c r="C17" s="68">
        <v>3</v>
      </c>
      <c r="D17" s="23"/>
      <c r="E17" s="23"/>
      <c r="F17" s="23"/>
      <c r="G17" s="23"/>
      <c r="H17" s="23"/>
      <c r="I17" s="23"/>
      <c r="J17" s="23"/>
      <c r="K17" s="23"/>
      <c r="L17" s="23"/>
      <c r="M17" s="23"/>
      <c r="N17" s="23"/>
      <c r="O17" s="23"/>
      <c r="P17" s="23"/>
      <c r="Q17" s="23"/>
      <c r="R17" s="23"/>
      <c r="S17" s="23"/>
      <c r="T17" s="23"/>
      <c r="U17" s="23"/>
      <c r="V17" s="23"/>
      <c r="W17" s="23"/>
      <c r="X17" s="23"/>
      <c r="Y17" s="23"/>
      <c r="Z17" s="23"/>
    </row>
    <row r="18" spans="1:26" ht="16.5" x14ac:dyDescent="0.3">
      <c r="A18" s="6" t="s">
        <v>87</v>
      </c>
      <c r="B18" s="7">
        <v>8.99</v>
      </c>
      <c r="C18" s="68">
        <v>10</v>
      </c>
      <c r="D18" s="23"/>
      <c r="E18" s="23"/>
      <c r="F18" s="23"/>
      <c r="G18" s="23"/>
      <c r="H18" s="23"/>
      <c r="I18" s="23"/>
      <c r="J18" s="23"/>
      <c r="K18" s="23"/>
      <c r="L18" s="23"/>
      <c r="M18" s="23"/>
      <c r="N18" s="23"/>
      <c r="O18" s="23"/>
      <c r="P18" s="23"/>
      <c r="Q18" s="23"/>
      <c r="R18" s="23"/>
      <c r="S18" s="23"/>
      <c r="T18" s="23"/>
      <c r="U18" s="23"/>
      <c r="V18" s="23"/>
      <c r="W18" s="23"/>
      <c r="X18" s="23"/>
      <c r="Y18" s="23"/>
      <c r="Z18" s="23"/>
    </row>
    <row r="19" spans="1:26" ht="16.5" x14ac:dyDescent="0.3">
      <c r="A19" s="6" t="s">
        <v>86</v>
      </c>
      <c r="B19" s="7">
        <v>8.99</v>
      </c>
      <c r="C19" s="68">
        <v>20</v>
      </c>
      <c r="D19" s="23"/>
      <c r="E19" s="23"/>
      <c r="F19" s="23"/>
      <c r="G19" s="23"/>
      <c r="H19" s="23"/>
      <c r="I19" s="23"/>
      <c r="J19" s="23"/>
      <c r="K19" s="23"/>
      <c r="L19" s="23"/>
      <c r="M19" s="23"/>
      <c r="N19" s="23"/>
      <c r="O19" s="23"/>
      <c r="P19" s="23"/>
      <c r="Q19" s="23"/>
      <c r="R19" s="23"/>
      <c r="S19" s="23"/>
      <c r="T19" s="23"/>
      <c r="U19" s="23"/>
      <c r="V19" s="23"/>
      <c r="W19" s="23"/>
      <c r="X19" s="23"/>
      <c r="Y19" s="23"/>
      <c r="Z19" s="23"/>
    </row>
    <row r="20" spans="1:26" ht="16.5" x14ac:dyDescent="0.3">
      <c r="A20" s="6" t="s">
        <v>85</v>
      </c>
      <c r="B20" s="7">
        <v>8.99</v>
      </c>
      <c r="C20" s="68">
        <v>25</v>
      </c>
      <c r="D20" s="23"/>
      <c r="E20" s="23"/>
      <c r="F20" s="23"/>
      <c r="G20" s="23"/>
      <c r="H20" s="23"/>
      <c r="I20" s="23"/>
      <c r="J20" s="23"/>
      <c r="K20" s="23"/>
      <c r="L20" s="23"/>
      <c r="M20" s="23"/>
      <c r="N20" s="23"/>
      <c r="O20" s="23"/>
      <c r="P20" s="23"/>
      <c r="Q20" s="23"/>
      <c r="R20" s="23"/>
      <c r="S20" s="23"/>
      <c r="T20" s="23"/>
      <c r="U20" s="23"/>
      <c r="V20" s="23"/>
      <c r="W20" s="23"/>
      <c r="X20" s="23"/>
      <c r="Y20" s="23"/>
      <c r="Z20" s="23"/>
    </row>
    <row r="21" spans="1:26" ht="16.5" x14ac:dyDescent="0.3">
      <c r="A21" s="6" t="s">
        <v>84</v>
      </c>
      <c r="B21" s="7">
        <v>8.99</v>
      </c>
      <c r="C21" s="68">
        <v>5</v>
      </c>
      <c r="D21" s="23"/>
      <c r="E21" s="23"/>
      <c r="F21" s="23"/>
      <c r="G21" s="23"/>
      <c r="H21" s="23"/>
      <c r="I21" s="23"/>
      <c r="J21" s="23"/>
      <c r="K21" s="23"/>
      <c r="L21" s="23"/>
      <c r="M21" s="23"/>
      <c r="N21" s="23"/>
      <c r="O21" s="23"/>
      <c r="P21" s="23"/>
      <c r="Q21" s="23"/>
      <c r="R21" s="23"/>
      <c r="S21" s="23"/>
      <c r="T21" s="23"/>
      <c r="U21" s="23"/>
      <c r="V21" s="23"/>
      <c r="W21" s="23"/>
      <c r="X21" s="23"/>
      <c r="Y21" s="23"/>
      <c r="Z21" s="23"/>
    </row>
    <row r="22" spans="1:26" ht="16.5" x14ac:dyDescent="0.3">
      <c r="A22" s="6" t="s">
        <v>83</v>
      </c>
      <c r="B22" s="7">
        <v>8.99</v>
      </c>
      <c r="C22" s="68">
        <v>3</v>
      </c>
      <c r="D22" s="23"/>
      <c r="E22" s="23"/>
      <c r="F22" s="23"/>
      <c r="G22" s="23"/>
      <c r="H22" s="23"/>
      <c r="I22" s="23"/>
      <c r="J22" s="23"/>
      <c r="K22" s="23"/>
      <c r="L22" s="23"/>
      <c r="M22" s="23"/>
      <c r="N22" s="23"/>
      <c r="O22" s="23"/>
      <c r="P22" s="23"/>
      <c r="Q22" s="23"/>
      <c r="R22" s="23"/>
      <c r="S22" s="23"/>
      <c r="T22" s="23"/>
      <c r="U22" s="23"/>
      <c r="V22" s="23"/>
      <c r="W22" s="23"/>
      <c r="X22" s="23"/>
      <c r="Y22" s="23"/>
      <c r="Z22" s="23"/>
    </row>
    <row r="23" spans="1:26" ht="16.5" x14ac:dyDescent="0.3">
      <c r="A23" s="6" t="s">
        <v>82</v>
      </c>
      <c r="B23" s="7">
        <v>8.99</v>
      </c>
      <c r="C23" s="68">
        <v>11</v>
      </c>
      <c r="D23" s="23"/>
      <c r="E23" s="23"/>
      <c r="F23" s="23"/>
      <c r="G23" s="23"/>
      <c r="H23" s="23"/>
      <c r="I23" s="23"/>
      <c r="J23" s="23"/>
      <c r="K23" s="23"/>
      <c r="L23" s="23"/>
      <c r="M23" s="23"/>
      <c r="N23" s="23"/>
      <c r="O23" s="23"/>
      <c r="P23" s="23"/>
      <c r="Q23" s="23"/>
      <c r="R23" s="23"/>
      <c r="S23" s="23"/>
      <c r="T23" s="23"/>
      <c r="U23" s="23"/>
      <c r="V23" s="23"/>
      <c r="W23" s="23"/>
      <c r="X23" s="23"/>
      <c r="Y23" s="23"/>
      <c r="Z23" s="23"/>
    </row>
    <row r="24" spans="1:26" ht="16.5" x14ac:dyDescent="0.3">
      <c r="A24" s="6" t="s">
        <v>81</v>
      </c>
      <c r="B24" s="7">
        <v>8.99</v>
      </c>
      <c r="C24" s="68">
        <v>7</v>
      </c>
      <c r="D24" s="23"/>
      <c r="E24" s="23"/>
      <c r="F24" s="23"/>
      <c r="G24" s="23"/>
      <c r="H24" s="23"/>
      <c r="I24" s="23"/>
      <c r="J24" s="23"/>
      <c r="K24" s="23"/>
      <c r="L24" s="23"/>
      <c r="M24" s="23"/>
      <c r="N24" s="23"/>
      <c r="O24" s="23"/>
      <c r="P24" s="23"/>
      <c r="Q24" s="23"/>
      <c r="R24" s="23"/>
      <c r="S24" s="23"/>
      <c r="T24" s="23"/>
      <c r="U24" s="23"/>
      <c r="V24" s="23"/>
      <c r="W24" s="23"/>
      <c r="X24" s="23"/>
      <c r="Y24" s="23"/>
      <c r="Z24" s="23"/>
    </row>
    <row r="25" spans="1:26" ht="16.5" x14ac:dyDescent="0.3">
      <c r="A25" s="6" t="s">
        <v>80</v>
      </c>
      <c r="B25" s="7">
        <v>7.99</v>
      </c>
      <c r="C25" s="68">
        <v>19</v>
      </c>
      <c r="D25" s="23"/>
      <c r="E25" s="23"/>
      <c r="F25" s="23"/>
      <c r="G25" s="23"/>
      <c r="H25" s="23"/>
      <c r="I25" s="23"/>
      <c r="J25" s="23"/>
      <c r="K25" s="23"/>
      <c r="L25" s="23"/>
      <c r="M25" s="23"/>
      <c r="N25" s="23"/>
      <c r="O25" s="23"/>
      <c r="P25" s="23"/>
      <c r="Q25" s="23"/>
      <c r="R25" s="23"/>
      <c r="S25" s="23"/>
      <c r="T25" s="23"/>
      <c r="U25" s="23"/>
      <c r="V25" s="23"/>
      <c r="W25" s="23"/>
      <c r="X25" s="23"/>
      <c r="Y25" s="23"/>
      <c r="Z25" s="23"/>
    </row>
    <row r="26" spans="1:26" ht="16.5" x14ac:dyDescent="0.3">
      <c r="A26" s="6" t="s">
        <v>79</v>
      </c>
      <c r="B26" s="7">
        <v>7.99</v>
      </c>
      <c r="C26" s="68">
        <v>17</v>
      </c>
      <c r="D26" s="23"/>
      <c r="E26" s="23"/>
      <c r="F26" s="23"/>
      <c r="G26" s="23"/>
      <c r="H26" s="23"/>
      <c r="I26" s="23"/>
      <c r="J26" s="23"/>
      <c r="K26" s="23"/>
      <c r="L26" s="23"/>
      <c r="M26" s="23"/>
      <c r="N26" s="23"/>
      <c r="O26" s="23"/>
      <c r="P26" s="23"/>
      <c r="Q26" s="23"/>
      <c r="R26" s="23"/>
      <c r="S26" s="23"/>
      <c r="T26" s="23"/>
      <c r="U26" s="23"/>
      <c r="V26" s="23"/>
      <c r="W26" s="23"/>
      <c r="X26" s="23"/>
      <c r="Y26" s="23"/>
      <c r="Z26" s="23"/>
    </row>
    <row r="27" spans="1:26" ht="16.5" x14ac:dyDescent="0.3">
      <c r="A27" s="6" t="s">
        <v>78</v>
      </c>
      <c r="B27" s="7">
        <v>7.99</v>
      </c>
      <c r="C27" s="68">
        <v>28</v>
      </c>
      <c r="D27" s="23"/>
      <c r="E27" s="23"/>
      <c r="F27" s="23"/>
      <c r="G27" s="23"/>
      <c r="H27" s="23"/>
      <c r="I27" s="23"/>
      <c r="J27" s="23"/>
      <c r="K27" s="23"/>
      <c r="L27" s="23"/>
      <c r="M27" s="23"/>
      <c r="N27" s="23"/>
      <c r="O27" s="23"/>
      <c r="P27" s="23"/>
      <c r="Q27" s="23"/>
      <c r="R27" s="23"/>
      <c r="S27" s="23"/>
      <c r="T27" s="23"/>
      <c r="U27" s="23"/>
      <c r="V27" s="23"/>
      <c r="W27" s="23"/>
      <c r="X27" s="23"/>
      <c r="Y27" s="23"/>
      <c r="Z27" s="23"/>
    </row>
    <row r="28" spans="1:26" ht="16.5" x14ac:dyDescent="0.3">
      <c r="A28" s="6" t="s">
        <v>77</v>
      </c>
      <c r="B28" s="7">
        <v>7.99</v>
      </c>
      <c r="C28" s="68">
        <v>25</v>
      </c>
      <c r="D28" s="23"/>
      <c r="E28" s="23"/>
      <c r="F28" s="23"/>
      <c r="G28" s="23"/>
      <c r="H28" s="23"/>
      <c r="I28" s="23"/>
      <c r="J28" s="23"/>
      <c r="K28" s="23"/>
      <c r="L28" s="23"/>
      <c r="M28" s="23"/>
      <c r="N28" s="23"/>
      <c r="O28" s="23"/>
      <c r="P28" s="23"/>
      <c r="Q28" s="23"/>
      <c r="R28" s="23"/>
      <c r="S28" s="23"/>
      <c r="T28" s="23"/>
      <c r="U28" s="23"/>
      <c r="V28" s="23"/>
      <c r="W28" s="23"/>
      <c r="X28" s="23"/>
      <c r="Y28" s="23"/>
      <c r="Z28" s="23"/>
    </row>
    <row r="29" spans="1:26" ht="16.5" x14ac:dyDescent="0.3">
      <c r="A29" s="6" t="s">
        <v>76</v>
      </c>
      <c r="B29" s="7">
        <v>7.99</v>
      </c>
      <c r="C29" s="68">
        <v>22</v>
      </c>
      <c r="D29" s="23"/>
      <c r="E29" s="23"/>
      <c r="F29" s="23"/>
      <c r="G29" s="23"/>
      <c r="H29" s="23"/>
      <c r="I29" s="23"/>
      <c r="J29" s="23"/>
      <c r="K29" s="23"/>
      <c r="L29" s="23"/>
      <c r="M29" s="23"/>
      <c r="N29" s="23"/>
      <c r="O29" s="23"/>
      <c r="P29" s="23"/>
      <c r="Q29" s="23"/>
      <c r="R29" s="23"/>
      <c r="S29" s="23"/>
      <c r="T29" s="23"/>
      <c r="U29" s="23"/>
      <c r="V29" s="23"/>
      <c r="W29" s="23"/>
      <c r="X29" s="23"/>
      <c r="Y29" s="23"/>
      <c r="Z29" s="23"/>
    </row>
    <row r="30" spans="1:26" ht="16.5" x14ac:dyDescent="0.3">
      <c r="A30" s="6" t="s">
        <v>75</v>
      </c>
      <c r="B30" s="7">
        <v>7.99</v>
      </c>
      <c r="C30" s="68">
        <v>14</v>
      </c>
      <c r="D30" s="23"/>
      <c r="E30" s="23"/>
      <c r="F30" s="23"/>
      <c r="G30" s="23"/>
      <c r="H30" s="23"/>
      <c r="I30" s="23"/>
      <c r="J30" s="23"/>
      <c r="K30" s="23"/>
      <c r="L30" s="23"/>
      <c r="M30" s="23"/>
      <c r="N30" s="23"/>
      <c r="O30" s="23"/>
      <c r="P30" s="23"/>
      <c r="Q30" s="23"/>
      <c r="R30" s="23"/>
      <c r="S30" s="23"/>
      <c r="T30" s="23"/>
      <c r="U30" s="23"/>
      <c r="V30" s="23"/>
      <c r="W30" s="23"/>
      <c r="X30" s="23"/>
      <c r="Y30" s="23"/>
      <c r="Z30" s="23"/>
    </row>
    <row r="31" spans="1:26" ht="16.5" x14ac:dyDescent="0.3">
      <c r="A31" s="6" t="s">
        <v>74</v>
      </c>
      <c r="B31" s="7">
        <v>7.99</v>
      </c>
      <c r="C31" s="68">
        <v>6</v>
      </c>
      <c r="D31" s="23"/>
      <c r="E31" s="23"/>
      <c r="F31" s="23"/>
      <c r="G31" s="23"/>
      <c r="H31" s="23"/>
      <c r="I31" s="23"/>
      <c r="J31" s="23"/>
      <c r="K31" s="23"/>
      <c r="L31" s="23"/>
      <c r="M31" s="23"/>
      <c r="N31" s="23"/>
      <c r="O31" s="23"/>
      <c r="P31" s="23"/>
      <c r="Q31" s="23"/>
      <c r="R31" s="23"/>
      <c r="S31" s="23"/>
      <c r="T31" s="23"/>
      <c r="U31" s="23"/>
      <c r="V31" s="23"/>
      <c r="W31" s="23"/>
      <c r="X31" s="23"/>
      <c r="Y31" s="23"/>
      <c r="Z31" s="23"/>
    </row>
    <row r="32" spans="1:26" ht="16.5" x14ac:dyDescent="0.3">
      <c r="A32" s="6" t="s">
        <v>73</v>
      </c>
      <c r="B32" s="7">
        <v>7.99</v>
      </c>
      <c r="C32" s="68">
        <v>8</v>
      </c>
      <c r="D32" s="23"/>
      <c r="E32" s="23"/>
      <c r="F32" s="23"/>
      <c r="G32" s="23"/>
      <c r="H32" s="23"/>
      <c r="I32" s="23"/>
      <c r="J32" s="23"/>
      <c r="K32" s="23"/>
      <c r="L32" s="23"/>
      <c r="M32" s="23"/>
      <c r="N32" s="23"/>
      <c r="O32" s="23"/>
      <c r="P32" s="23"/>
      <c r="Q32" s="23"/>
      <c r="R32" s="23"/>
      <c r="S32" s="23"/>
      <c r="T32" s="23"/>
      <c r="U32" s="23"/>
      <c r="V32" s="23"/>
      <c r="W32" s="23"/>
      <c r="X32" s="23"/>
      <c r="Y32" s="23"/>
      <c r="Z32" s="23"/>
    </row>
    <row r="33" spans="1:26" ht="16.5" x14ac:dyDescent="0.3">
      <c r="A33" s="6" t="s">
        <v>72</v>
      </c>
      <c r="B33" s="7">
        <v>7.99</v>
      </c>
      <c r="C33" s="68">
        <v>8</v>
      </c>
      <c r="D33" s="23"/>
      <c r="E33" s="23"/>
      <c r="F33" s="23"/>
      <c r="G33" s="23"/>
      <c r="H33" s="23"/>
      <c r="I33" s="23"/>
      <c r="J33" s="23"/>
      <c r="K33" s="23"/>
      <c r="L33" s="23"/>
      <c r="M33" s="23"/>
      <c r="N33" s="23"/>
      <c r="O33" s="23"/>
      <c r="P33" s="23"/>
      <c r="Q33" s="23"/>
      <c r="R33" s="23"/>
      <c r="S33" s="23"/>
      <c r="T33" s="23"/>
      <c r="U33" s="23"/>
      <c r="V33" s="23"/>
      <c r="W33" s="23"/>
      <c r="X33" s="23"/>
      <c r="Y33" s="23"/>
      <c r="Z33" s="23"/>
    </row>
    <row r="34" spans="1:26" ht="16.5" x14ac:dyDescent="0.3">
      <c r="A34" s="6" t="s">
        <v>71</v>
      </c>
      <c r="B34" s="7">
        <v>7.99</v>
      </c>
      <c r="C34" s="68">
        <v>9</v>
      </c>
      <c r="D34" s="23"/>
      <c r="E34" s="23"/>
      <c r="F34" s="23"/>
      <c r="G34" s="23"/>
      <c r="H34" s="23"/>
      <c r="I34" s="23"/>
      <c r="J34" s="23"/>
      <c r="K34" s="23"/>
      <c r="L34" s="23"/>
      <c r="M34" s="23"/>
      <c r="N34" s="23"/>
      <c r="O34" s="23"/>
      <c r="P34" s="23"/>
      <c r="Q34" s="23"/>
      <c r="R34" s="23"/>
      <c r="S34" s="23"/>
      <c r="T34" s="23"/>
      <c r="U34" s="23"/>
      <c r="V34" s="23"/>
      <c r="W34" s="23"/>
      <c r="X34" s="23"/>
      <c r="Y34" s="23"/>
      <c r="Z34" s="23"/>
    </row>
    <row r="35" spans="1:26" ht="16.5" x14ac:dyDescent="0.3">
      <c r="A35" s="6" t="s">
        <v>70</v>
      </c>
      <c r="B35" s="7">
        <v>8.99</v>
      </c>
      <c r="C35" s="68">
        <v>3</v>
      </c>
      <c r="D35" s="23"/>
      <c r="E35" s="23"/>
      <c r="F35" s="23"/>
      <c r="G35" s="23"/>
      <c r="H35" s="23"/>
      <c r="I35" s="23"/>
      <c r="J35" s="23"/>
      <c r="K35" s="23"/>
      <c r="L35" s="23"/>
      <c r="M35" s="23"/>
      <c r="N35" s="23"/>
      <c r="O35" s="23"/>
      <c r="P35" s="23"/>
      <c r="Q35" s="23"/>
      <c r="R35" s="23"/>
      <c r="S35" s="23"/>
      <c r="T35" s="23"/>
      <c r="U35" s="23"/>
      <c r="V35" s="23"/>
      <c r="W35" s="23"/>
      <c r="X35" s="23"/>
      <c r="Y35" s="23"/>
      <c r="Z35" s="23"/>
    </row>
    <row r="36" spans="1:26" ht="16.5" x14ac:dyDescent="0.3">
      <c r="A36" s="6" t="s">
        <v>69</v>
      </c>
      <c r="B36" s="7">
        <v>8.99</v>
      </c>
      <c r="C36" s="68">
        <v>6</v>
      </c>
      <c r="D36" s="23"/>
      <c r="E36" s="23"/>
      <c r="F36" s="23"/>
      <c r="G36" s="23"/>
      <c r="H36" s="23"/>
      <c r="I36" s="23"/>
      <c r="J36" s="23"/>
      <c r="K36" s="23"/>
      <c r="L36" s="23"/>
      <c r="M36" s="23"/>
      <c r="N36" s="23"/>
      <c r="O36" s="23"/>
      <c r="P36" s="23"/>
      <c r="Q36" s="23"/>
      <c r="R36" s="23"/>
      <c r="S36" s="23"/>
      <c r="T36" s="23"/>
      <c r="U36" s="23"/>
      <c r="V36" s="23"/>
      <c r="W36" s="23"/>
      <c r="X36" s="23"/>
      <c r="Y36" s="23"/>
      <c r="Z36" s="23"/>
    </row>
    <row r="37" spans="1:26" ht="16.5" x14ac:dyDescent="0.3">
      <c r="A37" s="6" t="s">
        <v>68</v>
      </c>
      <c r="B37" s="7">
        <v>8.99</v>
      </c>
      <c r="C37" s="68">
        <v>8</v>
      </c>
      <c r="D37" s="23"/>
      <c r="E37" s="23"/>
      <c r="F37" s="23"/>
      <c r="G37" s="23"/>
      <c r="H37" s="23"/>
      <c r="I37" s="23"/>
      <c r="J37" s="23"/>
      <c r="K37" s="23"/>
      <c r="L37" s="23"/>
      <c r="M37" s="23"/>
      <c r="N37" s="23"/>
      <c r="O37" s="23"/>
      <c r="P37" s="23"/>
      <c r="Q37" s="23"/>
      <c r="R37" s="23"/>
      <c r="S37" s="23"/>
      <c r="T37" s="23"/>
      <c r="U37" s="23"/>
      <c r="V37" s="23"/>
      <c r="W37" s="23"/>
      <c r="X37" s="23"/>
      <c r="Y37" s="23"/>
      <c r="Z37" s="23"/>
    </row>
    <row r="38" spans="1:26" ht="16.5" x14ac:dyDescent="0.3">
      <c r="A38" s="6" t="s">
        <v>67</v>
      </c>
      <c r="B38" s="7">
        <v>8.99</v>
      </c>
      <c r="C38" s="68">
        <v>4</v>
      </c>
      <c r="D38" s="23"/>
      <c r="E38" s="23"/>
      <c r="F38" s="23"/>
      <c r="G38" s="23"/>
      <c r="H38" s="23"/>
      <c r="I38" s="23"/>
      <c r="J38" s="23"/>
      <c r="K38" s="23"/>
      <c r="L38" s="23"/>
      <c r="M38" s="23"/>
      <c r="N38" s="23"/>
      <c r="O38" s="23"/>
      <c r="P38" s="23"/>
      <c r="Q38" s="23"/>
      <c r="R38" s="23"/>
      <c r="S38" s="23"/>
      <c r="T38" s="23"/>
      <c r="U38" s="23"/>
      <c r="V38" s="23"/>
      <c r="W38" s="23"/>
      <c r="X38" s="23"/>
      <c r="Y38" s="23"/>
      <c r="Z38" s="23"/>
    </row>
    <row r="39" spans="1:26" ht="16.5" x14ac:dyDescent="0.3">
      <c r="A39" s="6" t="s">
        <v>66</v>
      </c>
      <c r="B39" s="7">
        <v>8.99</v>
      </c>
      <c r="C39" s="68">
        <v>30</v>
      </c>
      <c r="D39" s="23"/>
      <c r="E39" s="23"/>
      <c r="F39" s="23"/>
      <c r="G39" s="23"/>
      <c r="H39" s="23"/>
      <c r="I39" s="23"/>
      <c r="J39" s="23"/>
      <c r="K39" s="23"/>
      <c r="L39" s="23"/>
      <c r="M39" s="23"/>
      <c r="N39" s="23"/>
      <c r="O39" s="23"/>
      <c r="P39" s="23"/>
      <c r="Q39" s="23"/>
      <c r="R39" s="23"/>
      <c r="S39" s="23"/>
      <c r="T39" s="23"/>
      <c r="U39" s="23"/>
      <c r="V39" s="23"/>
      <c r="W39" s="23"/>
      <c r="X39" s="23"/>
      <c r="Y39" s="23"/>
      <c r="Z39" s="23"/>
    </row>
    <row r="40" spans="1:26" ht="16.5" x14ac:dyDescent="0.3">
      <c r="A40" s="6" t="s">
        <v>65</v>
      </c>
      <c r="B40" s="7">
        <v>8.99</v>
      </c>
      <c r="C40" s="68">
        <v>26</v>
      </c>
      <c r="D40" s="23"/>
      <c r="E40" s="23"/>
      <c r="F40" s="23"/>
      <c r="G40" s="23"/>
      <c r="H40" s="23"/>
      <c r="I40" s="23"/>
      <c r="J40" s="23"/>
      <c r="K40" s="23"/>
      <c r="L40" s="23"/>
      <c r="M40" s="23"/>
      <c r="N40" s="23"/>
      <c r="O40" s="23"/>
      <c r="P40" s="23"/>
      <c r="Q40" s="23"/>
      <c r="R40" s="23"/>
      <c r="S40" s="23"/>
      <c r="T40" s="23"/>
      <c r="U40" s="23"/>
      <c r="V40" s="23"/>
      <c r="W40" s="23"/>
      <c r="X40" s="23"/>
      <c r="Y40" s="23"/>
      <c r="Z40" s="23"/>
    </row>
    <row r="41" spans="1:26" ht="16.5" x14ac:dyDescent="0.3">
      <c r="A41" s="6" t="s">
        <v>64</v>
      </c>
      <c r="B41" s="7">
        <v>8.99</v>
      </c>
      <c r="C41" s="68">
        <v>13</v>
      </c>
      <c r="D41" s="23"/>
      <c r="E41" s="23"/>
      <c r="F41" s="23"/>
      <c r="G41" s="23"/>
      <c r="H41" s="23"/>
      <c r="I41" s="23"/>
      <c r="J41" s="23"/>
      <c r="K41" s="23"/>
      <c r="L41" s="23"/>
      <c r="M41" s="23"/>
      <c r="N41" s="23"/>
      <c r="O41" s="23"/>
      <c r="P41" s="23"/>
      <c r="Q41" s="23"/>
      <c r="R41" s="23"/>
      <c r="S41" s="23"/>
      <c r="T41" s="23"/>
      <c r="U41" s="23"/>
      <c r="V41" s="23"/>
      <c r="W41" s="23"/>
      <c r="X41" s="23"/>
      <c r="Y41" s="23"/>
      <c r="Z41" s="23"/>
    </row>
    <row r="42" spans="1:26" ht="16.5" x14ac:dyDescent="0.3">
      <c r="A42" s="6" t="s">
        <v>63</v>
      </c>
      <c r="B42" s="7">
        <v>8.99</v>
      </c>
      <c r="C42" s="68">
        <v>27</v>
      </c>
      <c r="D42" s="23"/>
      <c r="E42" s="23"/>
      <c r="F42" s="23"/>
      <c r="G42" s="23"/>
      <c r="H42" s="23"/>
      <c r="I42" s="23"/>
      <c r="J42" s="23"/>
      <c r="K42" s="23"/>
      <c r="L42" s="23"/>
      <c r="M42" s="23"/>
      <c r="N42" s="23"/>
      <c r="O42" s="23"/>
      <c r="P42" s="23"/>
      <c r="Q42" s="23"/>
      <c r="R42" s="23"/>
      <c r="S42" s="23"/>
      <c r="T42" s="23"/>
      <c r="U42" s="23"/>
      <c r="V42" s="23"/>
      <c r="W42" s="23"/>
      <c r="X42" s="23"/>
      <c r="Y42" s="23"/>
      <c r="Z42" s="23"/>
    </row>
    <row r="43" spans="1:26" ht="16.5" x14ac:dyDescent="0.3">
      <c r="A43" s="6" t="s">
        <v>62</v>
      </c>
      <c r="B43" s="7">
        <v>8.99</v>
      </c>
      <c r="C43" s="68">
        <v>18</v>
      </c>
      <c r="D43" s="23"/>
      <c r="E43" s="23"/>
      <c r="F43" s="23"/>
      <c r="G43" s="23"/>
      <c r="H43" s="23"/>
      <c r="I43" s="23"/>
      <c r="J43" s="23"/>
      <c r="K43" s="23"/>
      <c r="L43" s="23"/>
      <c r="M43" s="23"/>
      <c r="N43" s="23"/>
      <c r="O43" s="23"/>
      <c r="P43" s="23"/>
      <c r="Q43" s="23"/>
      <c r="R43" s="23"/>
      <c r="S43" s="23"/>
      <c r="T43" s="23"/>
      <c r="U43" s="23"/>
      <c r="V43" s="23"/>
      <c r="W43" s="23"/>
      <c r="X43" s="23"/>
      <c r="Y43" s="23"/>
      <c r="Z43" s="23"/>
    </row>
    <row r="44" spans="1:26" ht="16.5" x14ac:dyDescent="0.3">
      <c r="A44" s="6" t="s">
        <v>61</v>
      </c>
      <c r="B44" s="7">
        <v>8.99</v>
      </c>
      <c r="C44" s="68">
        <v>17</v>
      </c>
      <c r="D44" s="23"/>
      <c r="E44" s="23"/>
      <c r="F44" s="23"/>
      <c r="G44" s="23"/>
      <c r="H44" s="23"/>
      <c r="I44" s="23"/>
      <c r="J44" s="23"/>
      <c r="K44" s="23"/>
      <c r="L44" s="23"/>
      <c r="M44" s="23"/>
      <c r="N44" s="23"/>
      <c r="O44" s="23"/>
      <c r="P44" s="23"/>
      <c r="Q44" s="23"/>
      <c r="R44" s="23"/>
      <c r="S44" s="23"/>
      <c r="T44" s="23"/>
      <c r="U44" s="23"/>
      <c r="V44" s="23"/>
      <c r="W44" s="23"/>
      <c r="X44" s="23"/>
      <c r="Y44" s="23"/>
      <c r="Z44" s="23"/>
    </row>
    <row r="45" spans="1:26" ht="16.5" x14ac:dyDescent="0.3">
      <c r="A45" s="6"/>
      <c r="B45" s="7"/>
      <c r="C45" s="23"/>
      <c r="D45" s="23"/>
      <c r="E45" s="23"/>
      <c r="F45" s="23"/>
      <c r="G45" s="23"/>
      <c r="H45" s="23"/>
      <c r="I45" s="23"/>
      <c r="J45" s="23"/>
      <c r="K45" s="23"/>
      <c r="L45" s="23"/>
      <c r="M45" s="23"/>
      <c r="N45" s="23"/>
      <c r="O45" s="23"/>
      <c r="P45" s="23"/>
      <c r="Q45" s="23"/>
      <c r="R45" s="23"/>
      <c r="S45" s="23"/>
      <c r="T45" s="23"/>
      <c r="U45" s="23"/>
      <c r="V45" s="23"/>
      <c r="W45" s="23"/>
      <c r="X45" s="23"/>
      <c r="Y45" s="23"/>
      <c r="Z45" s="23"/>
    </row>
    <row r="46" spans="1:26" ht="16.5" x14ac:dyDescent="0.3">
      <c r="A46" s="6"/>
      <c r="B46" s="7"/>
      <c r="C46" s="23"/>
      <c r="D46" s="23"/>
      <c r="E46" s="23"/>
      <c r="F46" s="23"/>
      <c r="G46" s="23"/>
      <c r="H46" s="23"/>
      <c r="I46" s="23"/>
      <c r="J46" s="23"/>
      <c r="K46" s="23"/>
      <c r="L46" s="23"/>
      <c r="M46" s="23"/>
      <c r="N46" s="23"/>
      <c r="O46" s="23"/>
      <c r="P46" s="23"/>
      <c r="Q46" s="23"/>
      <c r="R46" s="23"/>
      <c r="S46" s="23"/>
      <c r="T46" s="23"/>
      <c r="U46" s="23"/>
      <c r="V46" s="23"/>
      <c r="W46" s="23"/>
      <c r="X46" s="23"/>
      <c r="Y46" s="23"/>
      <c r="Z46" s="23"/>
    </row>
    <row r="47" spans="1:26" ht="16.5" x14ac:dyDescent="0.3">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row>
    <row r="48" spans="1:26" ht="16.5" x14ac:dyDescent="0.3">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row>
    <row r="49" spans="1:26" ht="16.5" x14ac:dyDescent="0.3">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row>
    <row r="50" spans="1:26" ht="16.5" x14ac:dyDescent="0.3">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row>
    <row r="51" spans="1:26" ht="16.5" x14ac:dyDescent="0.3">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row>
    <row r="52" spans="1:26" ht="16.5" x14ac:dyDescent="0.3">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row>
    <row r="53" spans="1:26" ht="16.5" x14ac:dyDescent="0.3">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row>
    <row r="54" spans="1:26" ht="16.5" x14ac:dyDescent="0.3">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row>
    <row r="55" spans="1:26" ht="16.5" x14ac:dyDescent="0.3">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row>
    <row r="56" spans="1:26" ht="16.5" x14ac:dyDescent="0.3">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row>
    <row r="57" spans="1:26" ht="16.5" x14ac:dyDescent="0.3">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row>
    <row r="58" spans="1:26" ht="16.5" x14ac:dyDescent="0.3">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row>
  </sheetData>
  <mergeCells count="1">
    <mergeCell ref="D1:G3"/>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4103" r:id="rId5" name="CommandButton1">
          <controlPr defaultSize="0" autoLine="0" r:id="rId6">
            <anchor moveWithCells="1">
              <from>
                <xdr:col>3</xdr:col>
                <xdr:colOff>428625</xdr:colOff>
                <xdr:row>4</xdr:row>
                <xdr:rowOff>28575</xdr:rowOff>
              </from>
              <to>
                <xdr:col>6</xdr:col>
                <xdr:colOff>114300</xdr:colOff>
                <xdr:row>6</xdr:row>
                <xdr:rowOff>76200</xdr:rowOff>
              </to>
            </anchor>
          </controlPr>
        </control>
      </mc:Choice>
      <mc:Fallback>
        <control shapeId="4103" r:id="rId5" name="CommandButton1"/>
      </mc:Fallback>
    </mc:AlternateContent>
    <mc:AlternateContent xmlns:mc="http://schemas.openxmlformats.org/markup-compatibility/2006">
      <mc:Choice Requires="x14">
        <control shapeId="4100" r:id="rId7" name="Button 4">
          <controlPr defaultSize="0" print="0" autoFill="0" autoPict="0" macro="[0]!Next_Worksheet">
            <anchor moveWithCells="1" sizeWithCells="1">
              <from>
                <xdr:col>7</xdr:col>
                <xdr:colOff>161925</xdr:colOff>
                <xdr:row>1</xdr:row>
                <xdr:rowOff>47625</xdr:rowOff>
              </from>
              <to>
                <xdr:col>8</xdr:col>
                <xdr:colOff>333375</xdr:colOff>
                <xdr:row>2</xdr:row>
                <xdr:rowOff>123825</xdr:rowOff>
              </to>
            </anchor>
          </controlPr>
        </control>
      </mc:Choice>
    </mc:AlternateContent>
    <mc:AlternateContent xmlns:mc="http://schemas.openxmlformats.org/markup-compatibility/2006">
      <mc:Choice Requires="x14">
        <control shapeId="4102" r:id="rId8" name="Button 6">
          <controlPr defaultSize="0" print="0" autoFill="0" autoPict="0" macro="[0]!Prev_Worksheet">
            <anchor moveWithCells="1" sizeWithCells="1">
              <from>
                <xdr:col>6</xdr:col>
                <xdr:colOff>0</xdr:colOff>
                <xdr:row>1</xdr:row>
                <xdr:rowOff>47625</xdr:rowOff>
              </from>
              <to>
                <xdr:col>7</xdr:col>
                <xdr:colOff>161925</xdr:colOff>
                <xdr:row>2</xdr:row>
                <xdr:rowOff>123825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57939-84D5-47CB-8F9D-431B2FE985EE}">
  <sheetPr codeName="Sheet4"/>
  <dimension ref="A1:AB52"/>
  <sheetViews>
    <sheetView zoomScale="99" zoomScaleNormal="99" workbookViewId="0"/>
  </sheetViews>
  <sheetFormatPr defaultColWidth="8.85546875" defaultRowHeight="15" x14ac:dyDescent="0.25"/>
  <cols>
    <col min="1" max="1" width="12.5703125" style="19" customWidth="1"/>
    <col min="2" max="2" width="16.85546875" style="19" customWidth="1"/>
    <col min="3" max="3" width="18.42578125" style="19" bestFit="1" customWidth="1"/>
    <col min="4" max="4" width="13.42578125" style="19" customWidth="1"/>
    <col min="5" max="5" width="18.5703125" style="19" customWidth="1"/>
    <col min="6" max="6" width="33.42578125" style="19" bestFit="1" customWidth="1"/>
    <col min="7" max="7" width="21.42578125" style="19" customWidth="1"/>
    <col min="8" max="8" width="14.85546875" style="19" customWidth="1"/>
    <col min="9" max="9" width="11.5703125" style="19" bestFit="1" customWidth="1"/>
    <col min="10" max="10" width="10.5703125" style="19" bestFit="1" customWidth="1"/>
    <col min="11" max="11" width="20.7109375" style="19" customWidth="1"/>
    <col min="12" max="16384" width="8.85546875" style="19"/>
  </cols>
  <sheetData>
    <row r="1" spans="1:28" ht="16.5" x14ac:dyDescent="0.3">
      <c r="A1" s="13"/>
      <c r="B1" s="13"/>
      <c r="C1" s="93" t="s">
        <v>125</v>
      </c>
      <c r="D1" s="87"/>
      <c r="E1" s="87"/>
      <c r="F1" s="87"/>
      <c r="G1" s="13"/>
      <c r="H1" s="13"/>
      <c r="I1" s="13"/>
      <c r="J1" s="13"/>
      <c r="K1" s="13"/>
      <c r="L1" s="13"/>
      <c r="M1" s="13"/>
      <c r="N1" s="13"/>
      <c r="O1" s="13"/>
      <c r="P1" s="13"/>
      <c r="Q1" s="13"/>
      <c r="R1" s="13"/>
      <c r="S1" s="13"/>
      <c r="T1" s="13"/>
      <c r="U1" s="13"/>
      <c r="V1" s="1"/>
      <c r="W1" s="1"/>
      <c r="X1" s="1"/>
      <c r="Y1" s="1"/>
      <c r="Z1" s="1"/>
      <c r="AA1" s="1"/>
      <c r="AB1" s="1"/>
    </row>
    <row r="2" spans="1:28" ht="16.5" x14ac:dyDescent="0.3">
      <c r="A2" s="13"/>
      <c r="B2" s="13"/>
      <c r="C2" s="87"/>
      <c r="D2" s="87"/>
      <c r="E2" s="87"/>
      <c r="F2" s="87"/>
      <c r="G2" s="13"/>
      <c r="H2" s="13"/>
      <c r="I2" s="13"/>
      <c r="J2" s="13"/>
      <c r="K2" s="13"/>
      <c r="L2" s="13"/>
      <c r="M2" s="13"/>
      <c r="N2" s="13"/>
      <c r="O2" s="13"/>
      <c r="P2" s="13"/>
      <c r="Q2" s="13"/>
      <c r="R2" s="13"/>
      <c r="S2" s="13"/>
      <c r="T2" s="13"/>
      <c r="U2" s="13"/>
      <c r="V2" s="1"/>
      <c r="W2" s="1"/>
      <c r="X2" s="1"/>
      <c r="Y2" s="1"/>
      <c r="Z2" s="1"/>
      <c r="AA2" s="1"/>
      <c r="AB2" s="1"/>
    </row>
    <row r="3" spans="1:28" ht="16.5" x14ac:dyDescent="0.3">
      <c r="A3" s="13"/>
      <c r="B3" s="13"/>
      <c r="C3" s="94"/>
      <c r="D3" s="94"/>
      <c r="E3" s="94"/>
      <c r="F3" s="94"/>
      <c r="G3" s="13"/>
      <c r="H3" s="13"/>
      <c r="I3" s="13"/>
      <c r="J3" s="13"/>
      <c r="K3" s="13"/>
      <c r="L3" s="13"/>
      <c r="M3" s="13"/>
      <c r="N3" s="13"/>
      <c r="O3" s="13"/>
      <c r="P3" s="13"/>
      <c r="Q3" s="13"/>
      <c r="R3" s="13"/>
      <c r="S3" s="13"/>
      <c r="T3" s="13"/>
      <c r="U3" s="13"/>
      <c r="V3" s="1"/>
      <c r="W3" s="1"/>
      <c r="X3" s="1"/>
      <c r="Y3" s="1"/>
      <c r="Z3" s="1"/>
      <c r="AA3" s="1"/>
      <c r="AB3" s="1"/>
    </row>
    <row r="4" spans="1:28" ht="17.25" x14ac:dyDescent="0.35">
      <c r="A4" s="15" t="s">
        <v>0</v>
      </c>
      <c r="B4" s="15" t="s">
        <v>1</v>
      </c>
      <c r="C4" s="15" t="s">
        <v>2</v>
      </c>
      <c r="D4" s="15" t="s">
        <v>3</v>
      </c>
      <c r="E4" s="15" t="s">
        <v>4</v>
      </c>
      <c r="F4" s="15" t="s">
        <v>5</v>
      </c>
      <c r="G4" s="15" t="s">
        <v>6</v>
      </c>
      <c r="H4" s="15" t="s">
        <v>7</v>
      </c>
      <c r="I4" s="15" t="s">
        <v>8</v>
      </c>
      <c r="J4" s="15" t="s">
        <v>9</v>
      </c>
      <c r="K4" s="15" t="s">
        <v>231</v>
      </c>
      <c r="L4" s="23"/>
      <c r="M4" s="23"/>
      <c r="N4" s="23"/>
      <c r="O4" s="23"/>
      <c r="P4" s="23"/>
      <c r="Q4" s="23"/>
      <c r="R4" s="23"/>
      <c r="S4" s="23"/>
      <c r="T4" s="23"/>
      <c r="U4" s="23"/>
    </row>
    <row r="5" spans="1:28" ht="16.5" x14ac:dyDescent="0.3">
      <c r="A5" s="32" t="s">
        <v>20</v>
      </c>
      <c r="B5" s="32" t="s">
        <v>21</v>
      </c>
      <c r="C5" s="32" t="s">
        <v>32</v>
      </c>
      <c r="D5" s="32" t="s">
        <v>11</v>
      </c>
      <c r="E5" s="70">
        <v>8311110005</v>
      </c>
      <c r="F5" s="71" t="s">
        <v>227</v>
      </c>
      <c r="G5" s="32" t="s">
        <v>25</v>
      </c>
      <c r="H5" s="72">
        <v>30</v>
      </c>
      <c r="I5" s="35">
        <v>44839</v>
      </c>
      <c r="J5" s="35">
        <v>34894</v>
      </c>
      <c r="K5" s="37">
        <f>SUMIF(Transactions!$E$6:$E$101,Employees!B5,Transactions!$H$6:$H$101)</f>
        <v>129.43800000000002</v>
      </c>
      <c r="L5" s="23"/>
      <c r="M5" s="23"/>
      <c r="N5" s="23"/>
      <c r="O5" s="23"/>
      <c r="P5" s="23"/>
      <c r="Q5" s="23"/>
      <c r="R5" s="23"/>
      <c r="S5" s="23"/>
      <c r="T5" s="23"/>
      <c r="U5" s="23"/>
    </row>
    <row r="6" spans="1:28" ht="16.5" x14ac:dyDescent="0.3">
      <c r="A6" s="32" t="s">
        <v>18</v>
      </c>
      <c r="B6" s="32" t="s">
        <v>19</v>
      </c>
      <c r="C6" s="32" t="s">
        <v>31</v>
      </c>
      <c r="D6" s="32" t="s">
        <v>13</v>
      </c>
      <c r="E6" s="70">
        <v>8311110004</v>
      </c>
      <c r="F6" s="71" t="s">
        <v>226</v>
      </c>
      <c r="G6" s="32" t="s">
        <v>27</v>
      </c>
      <c r="H6" s="72">
        <v>23.5</v>
      </c>
      <c r="I6" s="35">
        <v>44850</v>
      </c>
      <c r="J6" s="35">
        <v>36274</v>
      </c>
      <c r="K6" s="37">
        <f>SUMIF(Transactions!$E$6:$E$101,Employees!B6,Transactions!$H$6:$H$101)</f>
        <v>0</v>
      </c>
      <c r="L6" s="23"/>
      <c r="M6" s="23"/>
      <c r="N6" s="23"/>
      <c r="O6" s="23"/>
      <c r="P6" s="23"/>
      <c r="Q6" s="23"/>
      <c r="R6" s="23"/>
      <c r="S6" s="23"/>
      <c r="T6" s="23"/>
      <c r="U6" s="23"/>
    </row>
    <row r="7" spans="1:28" ht="16.5" x14ac:dyDescent="0.3">
      <c r="A7" s="32" t="s">
        <v>10</v>
      </c>
      <c r="B7" s="32" t="s">
        <v>24</v>
      </c>
      <c r="C7" s="32" t="s">
        <v>30</v>
      </c>
      <c r="D7" s="32" t="s">
        <v>14</v>
      </c>
      <c r="E7" s="70">
        <v>8311110003</v>
      </c>
      <c r="F7" s="71" t="s">
        <v>228</v>
      </c>
      <c r="G7" s="32" t="s">
        <v>27</v>
      </c>
      <c r="H7" s="72">
        <v>23.5</v>
      </c>
      <c r="I7" s="35">
        <v>44861</v>
      </c>
      <c r="J7" s="35">
        <v>36869</v>
      </c>
      <c r="K7" s="37">
        <f>SUMIF(Transactions!$E$6:$E$101,Employees!B7,Transactions!$H$6:$H$101)</f>
        <v>0</v>
      </c>
      <c r="L7" s="23"/>
      <c r="M7" s="23"/>
      <c r="N7" s="23"/>
      <c r="O7" s="23"/>
      <c r="P7" s="23"/>
      <c r="Q7" s="23"/>
      <c r="R7" s="23"/>
      <c r="S7" s="23"/>
      <c r="T7" s="23"/>
      <c r="U7" s="23"/>
    </row>
    <row r="8" spans="1:28" ht="16.5" x14ac:dyDescent="0.3">
      <c r="A8" s="32" t="s">
        <v>22</v>
      </c>
      <c r="B8" s="32" t="s">
        <v>23</v>
      </c>
      <c r="C8" s="32" t="s">
        <v>29</v>
      </c>
      <c r="D8" s="32" t="s">
        <v>12</v>
      </c>
      <c r="E8" s="70">
        <v>8311110002</v>
      </c>
      <c r="F8" s="71" t="s">
        <v>229</v>
      </c>
      <c r="G8" s="32" t="s">
        <v>26</v>
      </c>
      <c r="H8" s="72">
        <v>25</v>
      </c>
      <c r="I8" s="35">
        <v>44859</v>
      </c>
      <c r="J8" s="35">
        <v>35856</v>
      </c>
      <c r="K8" s="37">
        <f>SUMIF(Transactions!$E$6:$E$101,Employees!B8,Transactions!$H$6:$H$101)</f>
        <v>0</v>
      </c>
      <c r="L8" s="23"/>
      <c r="M8" s="23"/>
      <c r="N8" s="23"/>
      <c r="O8" s="23"/>
      <c r="P8" s="23"/>
      <c r="Q8" s="23"/>
      <c r="R8" s="23"/>
      <c r="S8" s="23"/>
      <c r="T8" s="23"/>
      <c r="U8" s="23"/>
    </row>
    <row r="9" spans="1:28" ht="16.5" x14ac:dyDescent="0.3">
      <c r="A9" s="32" t="s">
        <v>16</v>
      </c>
      <c r="B9" s="32" t="s">
        <v>17</v>
      </c>
      <c r="C9" s="32" t="s">
        <v>28</v>
      </c>
      <c r="D9" s="32" t="s">
        <v>15</v>
      </c>
      <c r="E9" s="70">
        <v>8311110001</v>
      </c>
      <c r="F9" s="71" t="s">
        <v>230</v>
      </c>
      <c r="G9" s="32" t="s">
        <v>26</v>
      </c>
      <c r="H9" s="72">
        <v>25</v>
      </c>
      <c r="I9" s="35">
        <v>44856</v>
      </c>
      <c r="J9" s="35">
        <v>36785</v>
      </c>
      <c r="K9" s="37">
        <f>SUMIF(Transactions!$E$6:$E$101,Employees!B9,Transactions!$H$6:$H$101)</f>
        <v>0</v>
      </c>
      <c r="L9" s="23"/>
      <c r="M9" s="23"/>
      <c r="N9" s="23"/>
      <c r="O9" s="23"/>
      <c r="P9" s="23"/>
      <c r="Q9" s="23"/>
      <c r="R9" s="23"/>
      <c r="S9" s="23"/>
      <c r="T9" s="23"/>
      <c r="U9" s="23"/>
    </row>
    <row r="10" spans="1:28" ht="16.5" x14ac:dyDescent="0.3">
      <c r="A10" s="6"/>
      <c r="B10" s="6"/>
      <c r="C10" s="6"/>
      <c r="D10" s="6"/>
      <c r="E10" s="9"/>
      <c r="F10" s="73"/>
      <c r="G10" s="6"/>
      <c r="H10" s="6"/>
      <c r="I10" s="6"/>
      <c r="J10" s="6"/>
      <c r="K10" s="6"/>
      <c r="L10" s="23"/>
      <c r="M10" s="23"/>
      <c r="N10" s="23"/>
      <c r="O10" s="23"/>
      <c r="P10" s="23"/>
      <c r="Q10" s="23"/>
      <c r="R10" s="23"/>
      <c r="S10" s="23"/>
      <c r="T10" s="23"/>
      <c r="U10" s="23"/>
    </row>
    <row r="11" spans="1:28" ht="16.5" x14ac:dyDescent="0.3">
      <c r="A11" s="6"/>
      <c r="B11" s="6"/>
      <c r="C11" s="6"/>
      <c r="D11" s="6"/>
      <c r="E11" s="9"/>
      <c r="F11" s="73"/>
      <c r="G11" s="6"/>
      <c r="H11" s="6"/>
      <c r="I11" s="6"/>
      <c r="J11" s="6"/>
      <c r="K11" s="6"/>
      <c r="L11" s="23"/>
      <c r="M11" s="23"/>
      <c r="N11" s="23"/>
      <c r="O11" s="23"/>
      <c r="P11" s="23"/>
      <c r="Q11" s="23"/>
      <c r="R11" s="23"/>
      <c r="S11" s="23"/>
      <c r="T11" s="23"/>
      <c r="U11" s="23"/>
    </row>
    <row r="12" spans="1:28" ht="16.5" x14ac:dyDescent="0.3">
      <c r="A12" s="6"/>
      <c r="B12" s="6"/>
      <c r="C12" s="6"/>
      <c r="D12" s="6"/>
      <c r="E12" s="9"/>
      <c r="F12" s="73"/>
      <c r="G12" s="6"/>
      <c r="H12" s="6"/>
      <c r="I12" s="6"/>
      <c r="J12" s="6"/>
      <c r="K12" s="6"/>
      <c r="L12" s="23"/>
      <c r="M12" s="23"/>
      <c r="N12" s="23"/>
      <c r="O12" s="23"/>
      <c r="P12" s="23"/>
      <c r="Q12" s="23"/>
      <c r="R12" s="23"/>
      <c r="S12" s="23"/>
      <c r="T12" s="23"/>
      <c r="U12" s="23"/>
    </row>
    <row r="13" spans="1:28" ht="16.5" x14ac:dyDescent="0.3">
      <c r="A13" s="6"/>
      <c r="B13" s="6"/>
      <c r="C13" s="6"/>
      <c r="D13" s="6"/>
      <c r="E13" s="9"/>
      <c r="F13" s="73"/>
      <c r="G13" s="6"/>
      <c r="H13" s="6"/>
      <c r="I13" s="6"/>
      <c r="J13" s="6"/>
      <c r="K13" s="6"/>
      <c r="L13" s="23"/>
      <c r="M13" s="23"/>
      <c r="N13" s="23"/>
      <c r="O13" s="23"/>
      <c r="P13" s="23"/>
      <c r="Q13" s="23"/>
      <c r="R13" s="23"/>
      <c r="S13" s="23"/>
      <c r="T13" s="23"/>
      <c r="U13" s="23"/>
    </row>
    <row r="14" spans="1:28" ht="16.5" x14ac:dyDescent="0.3">
      <c r="A14" s="6"/>
      <c r="B14" s="6"/>
      <c r="C14" s="6"/>
      <c r="D14" s="6"/>
      <c r="E14" s="9"/>
      <c r="F14" s="73"/>
      <c r="G14" s="6"/>
      <c r="H14" s="6"/>
      <c r="I14" s="6"/>
      <c r="J14" s="6"/>
      <c r="K14" s="6"/>
      <c r="L14" s="23"/>
      <c r="M14" s="23"/>
      <c r="N14" s="23"/>
      <c r="O14" s="23"/>
      <c r="P14" s="23"/>
      <c r="Q14" s="23"/>
      <c r="R14" s="23"/>
      <c r="S14" s="23"/>
      <c r="T14" s="23"/>
      <c r="U14" s="23"/>
    </row>
    <row r="15" spans="1:28" ht="16.5" x14ac:dyDescent="0.3">
      <c r="A15" s="6"/>
      <c r="B15" s="6"/>
      <c r="C15" s="6"/>
      <c r="D15" s="6"/>
      <c r="E15" s="9"/>
      <c r="F15" s="73"/>
      <c r="G15" s="6"/>
      <c r="H15" s="6"/>
      <c r="I15" s="6"/>
      <c r="J15" s="6"/>
      <c r="K15" s="6"/>
      <c r="L15" s="23"/>
      <c r="M15" s="23"/>
      <c r="N15" s="23"/>
      <c r="O15" s="23"/>
      <c r="P15" s="23"/>
      <c r="Q15" s="23"/>
      <c r="R15" s="23"/>
      <c r="S15" s="23"/>
      <c r="T15" s="23"/>
      <c r="U15" s="23"/>
    </row>
    <row r="16" spans="1:28" ht="16.5" x14ac:dyDescent="0.3">
      <c r="A16" s="6"/>
      <c r="B16" s="6"/>
      <c r="C16" s="6"/>
      <c r="D16" s="6"/>
      <c r="E16" s="9"/>
      <c r="F16" s="73"/>
      <c r="G16" s="6"/>
      <c r="H16" s="6"/>
      <c r="I16" s="6"/>
      <c r="J16" s="6"/>
      <c r="K16" s="6"/>
      <c r="L16" s="23"/>
      <c r="M16" s="23"/>
      <c r="N16" s="23"/>
      <c r="O16" s="23"/>
      <c r="P16" s="23"/>
      <c r="Q16" s="23"/>
      <c r="R16" s="23"/>
      <c r="S16" s="23"/>
      <c r="T16" s="23"/>
      <c r="U16" s="23"/>
    </row>
    <row r="17" spans="1:21" ht="16.5" x14ac:dyDescent="0.3">
      <c r="A17" s="6"/>
      <c r="B17" s="6"/>
      <c r="C17" s="6"/>
      <c r="D17" s="6"/>
      <c r="E17" s="9"/>
      <c r="F17" s="73"/>
      <c r="G17" s="6"/>
      <c r="H17" s="6"/>
      <c r="I17" s="6"/>
      <c r="J17" s="6"/>
      <c r="K17" s="6"/>
      <c r="L17" s="23"/>
      <c r="M17" s="23"/>
      <c r="N17" s="23"/>
      <c r="O17" s="23"/>
      <c r="P17" s="23"/>
      <c r="Q17" s="23"/>
      <c r="R17" s="23"/>
      <c r="S17" s="23"/>
      <c r="T17" s="23"/>
      <c r="U17" s="23"/>
    </row>
    <row r="18" spans="1:21" ht="16.5" x14ac:dyDescent="0.3">
      <c r="A18" s="6"/>
      <c r="B18" s="6"/>
      <c r="C18" s="6"/>
      <c r="D18" s="6"/>
      <c r="E18" s="9"/>
      <c r="F18" s="73"/>
      <c r="G18" s="6"/>
      <c r="H18" s="6"/>
      <c r="I18" s="6"/>
      <c r="J18" s="6"/>
      <c r="K18" s="6"/>
      <c r="L18" s="23"/>
      <c r="M18" s="23"/>
      <c r="N18" s="23"/>
      <c r="O18" s="23"/>
      <c r="P18" s="23"/>
      <c r="Q18" s="23"/>
      <c r="R18" s="23"/>
      <c r="S18" s="23"/>
      <c r="T18" s="23"/>
      <c r="U18" s="23"/>
    </row>
    <row r="19" spans="1:21" ht="16.5" x14ac:dyDescent="0.3">
      <c r="A19" s="23"/>
      <c r="B19" s="23"/>
      <c r="C19" s="23"/>
      <c r="D19" s="23"/>
      <c r="E19" s="74"/>
      <c r="F19" s="75"/>
      <c r="G19" s="23"/>
      <c r="H19" s="23"/>
      <c r="I19" s="23"/>
      <c r="J19" s="23"/>
      <c r="K19" s="23"/>
      <c r="L19" s="23"/>
      <c r="M19" s="23"/>
      <c r="N19" s="23"/>
      <c r="O19" s="23"/>
      <c r="P19" s="23"/>
      <c r="Q19" s="23"/>
      <c r="R19" s="23"/>
      <c r="S19" s="23"/>
      <c r="T19" s="23"/>
      <c r="U19" s="23"/>
    </row>
    <row r="20" spans="1:21" ht="16.5" x14ac:dyDescent="0.3">
      <c r="A20" s="23"/>
      <c r="B20" s="23"/>
      <c r="C20" s="23"/>
      <c r="D20" s="23"/>
      <c r="E20" s="23"/>
      <c r="F20" s="75"/>
      <c r="G20" s="23"/>
      <c r="H20" s="23"/>
      <c r="I20" s="23"/>
      <c r="J20" s="23"/>
      <c r="K20" s="23"/>
      <c r="L20" s="23"/>
      <c r="M20" s="23"/>
      <c r="N20" s="23"/>
      <c r="O20" s="23"/>
      <c r="P20" s="23"/>
      <c r="Q20" s="23"/>
      <c r="R20" s="23"/>
      <c r="S20" s="23"/>
      <c r="T20" s="23"/>
      <c r="U20" s="23"/>
    </row>
    <row r="21" spans="1:21" ht="16.5" x14ac:dyDescent="0.3">
      <c r="A21" s="23"/>
      <c r="B21" s="23"/>
      <c r="C21" s="23"/>
      <c r="D21" s="23"/>
      <c r="E21" s="23"/>
      <c r="F21" s="75"/>
      <c r="G21" s="23"/>
      <c r="H21" s="23"/>
      <c r="I21" s="23"/>
      <c r="J21" s="23"/>
      <c r="K21" s="23"/>
      <c r="L21" s="23"/>
      <c r="M21" s="23"/>
      <c r="N21" s="23"/>
      <c r="O21" s="23"/>
      <c r="P21" s="23"/>
      <c r="Q21" s="23"/>
      <c r="R21" s="23"/>
      <c r="S21" s="23"/>
      <c r="T21" s="23"/>
      <c r="U21" s="23"/>
    </row>
    <row r="22" spans="1:21" ht="16.5" x14ac:dyDescent="0.3">
      <c r="A22" s="23"/>
      <c r="B22" s="23"/>
      <c r="C22" s="23"/>
      <c r="D22" s="23"/>
      <c r="E22" s="23"/>
      <c r="F22" s="75"/>
      <c r="G22" s="23"/>
      <c r="H22" s="23"/>
      <c r="I22" s="23"/>
      <c r="J22" s="23"/>
      <c r="K22" s="23"/>
      <c r="L22" s="23"/>
      <c r="M22" s="23"/>
      <c r="N22" s="23"/>
      <c r="O22" s="23"/>
      <c r="P22" s="23"/>
      <c r="Q22" s="23"/>
      <c r="R22" s="23"/>
      <c r="S22" s="23"/>
      <c r="T22" s="23"/>
      <c r="U22" s="23"/>
    </row>
    <row r="23" spans="1:21" ht="16.5" x14ac:dyDescent="0.3">
      <c r="A23" s="23"/>
      <c r="B23" s="23"/>
      <c r="C23" s="23"/>
      <c r="D23" s="23"/>
      <c r="E23" s="23"/>
      <c r="F23" s="75"/>
      <c r="G23" s="23"/>
      <c r="H23" s="23"/>
      <c r="I23" s="23"/>
      <c r="J23" s="23"/>
      <c r="K23" s="23"/>
      <c r="L23" s="23"/>
      <c r="M23" s="23"/>
      <c r="N23" s="23"/>
      <c r="O23" s="23"/>
      <c r="P23" s="23"/>
      <c r="Q23" s="23"/>
      <c r="R23" s="23"/>
      <c r="S23" s="23"/>
      <c r="T23" s="23"/>
      <c r="U23" s="23"/>
    </row>
    <row r="24" spans="1:21" ht="16.5" x14ac:dyDescent="0.3">
      <c r="A24" s="23"/>
      <c r="B24" s="23"/>
      <c r="C24" s="23"/>
      <c r="D24" s="23"/>
      <c r="E24" s="23"/>
      <c r="F24" s="75"/>
      <c r="G24" s="23"/>
      <c r="H24" s="23"/>
      <c r="I24" s="23"/>
      <c r="J24" s="23"/>
      <c r="K24" s="23"/>
      <c r="L24" s="23"/>
      <c r="M24" s="23"/>
      <c r="N24" s="23"/>
      <c r="O24" s="23"/>
      <c r="P24" s="23"/>
      <c r="Q24" s="23"/>
      <c r="R24" s="23"/>
      <c r="S24" s="23"/>
      <c r="T24" s="23"/>
      <c r="U24" s="23"/>
    </row>
    <row r="25" spans="1:21" ht="16.5" x14ac:dyDescent="0.3">
      <c r="A25" s="23"/>
      <c r="B25" s="23"/>
      <c r="C25" s="23"/>
      <c r="D25" s="23"/>
      <c r="E25" s="23"/>
      <c r="F25" s="75"/>
      <c r="G25" s="23"/>
      <c r="H25" s="23"/>
      <c r="I25" s="23"/>
      <c r="J25" s="23"/>
      <c r="K25" s="23"/>
      <c r="L25" s="23"/>
      <c r="M25" s="23"/>
      <c r="N25" s="23"/>
      <c r="O25" s="23"/>
      <c r="P25" s="23"/>
      <c r="Q25" s="23"/>
      <c r="R25" s="23"/>
      <c r="S25" s="23"/>
      <c r="T25" s="23"/>
      <c r="U25" s="23"/>
    </row>
    <row r="26" spans="1:21" ht="16.5" x14ac:dyDescent="0.3">
      <c r="A26" s="23"/>
      <c r="B26" s="23"/>
      <c r="C26" s="23"/>
      <c r="D26" s="23"/>
      <c r="E26" s="23"/>
      <c r="F26" s="75"/>
      <c r="G26" s="23"/>
      <c r="H26" s="23"/>
      <c r="I26" s="23"/>
      <c r="J26" s="23"/>
      <c r="K26" s="23"/>
      <c r="L26" s="23"/>
      <c r="M26" s="23"/>
      <c r="N26" s="23"/>
      <c r="O26" s="23"/>
      <c r="P26" s="23"/>
      <c r="Q26" s="23"/>
      <c r="R26" s="23"/>
      <c r="S26" s="23"/>
      <c r="T26" s="23"/>
      <c r="U26" s="23"/>
    </row>
    <row r="27" spans="1:21" ht="16.5" x14ac:dyDescent="0.3">
      <c r="A27" s="23"/>
      <c r="B27" s="23"/>
      <c r="C27" s="23"/>
      <c r="D27" s="23"/>
      <c r="E27" s="23"/>
      <c r="F27" s="75"/>
      <c r="G27" s="23"/>
      <c r="H27" s="23"/>
      <c r="I27" s="23"/>
      <c r="J27" s="23"/>
      <c r="K27" s="23"/>
      <c r="L27" s="23"/>
      <c r="M27" s="23"/>
      <c r="N27" s="23"/>
      <c r="O27" s="23"/>
      <c r="P27" s="23"/>
      <c r="Q27" s="23"/>
      <c r="R27" s="23"/>
      <c r="S27" s="23"/>
      <c r="T27" s="23"/>
      <c r="U27" s="23"/>
    </row>
    <row r="28" spans="1:21" ht="16.5" x14ac:dyDescent="0.3">
      <c r="A28" s="23"/>
      <c r="B28" s="23"/>
      <c r="C28" s="23"/>
      <c r="D28" s="23"/>
      <c r="E28" s="23"/>
      <c r="F28" s="75"/>
      <c r="G28" s="23"/>
      <c r="H28" s="23"/>
      <c r="I28" s="23"/>
      <c r="J28" s="23"/>
      <c r="K28" s="23"/>
      <c r="L28" s="23"/>
      <c r="M28" s="23"/>
      <c r="N28" s="23"/>
      <c r="O28" s="23"/>
      <c r="P28" s="23"/>
      <c r="Q28" s="23"/>
      <c r="R28" s="23"/>
      <c r="S28" s="23"/>
      <c r="T28" s="23"/>
      <c r="U28" s="23"/>
    </row>
    <row r="29" spans="1:21" ht="16.5" x14ac:dyDescent="0.3">
      <c r="A29" s="23"/>
      <c r="B29" s="23"/>
      <c r="C29" s="23"/>
      <c r="D29" s="23"/>
      <c r="E29" s="23"/>
      <c r="F29" s="75"/>
      <c r="G29" s="23"/>
      <c r="H29" s="23"/>
      <c r="I29" s="23"/>
      <c r="J29" s="23"/>
      <c r="K29" s="23"/>
      <c r="L29" s="23"/>
      <c r="M29" s="23"/>
      <c r="N29" s="23"/>
      <c r="O29" s="23"/>
      <c r="P29" s="23"/>
      <c r="Q29" s="23"/>
      <c r="R29" s="23"/>
      <c r="S29" s="23"/>
      <c r="T29" s="23"/>
      <c r="U29" s="23"/>
    </row>
    <row r="30" spans="1:21" ht="16.5" x14ac:dyDescent="0.3">
      <c r="A30" s="23"/>
      <c r="B30" s="23"/>
      <c r="C30" s="23"/>
      <c r="D30" s="23"/>
      <c r="E30" s="23"/>
      <c r="F30" s="75"/>
      <c r="G30" s="23"/>
      <c r="H30" s="23"/>
      <c r="I30" s="23"/>
      <c r="J30" s="23"/>
      <c r="K30" s="23"/>
      <c r="L30" s="23"/>
      <c r="M30" s="23"/>
      <c r="N30" s="23"/>
      <c r="O30" s="23"/>
      <c r="P30" s="23"/>
      <c r="Q30" s="23"/>
      <c r="R30" s="23"/>
      <c r="S30" s="23"/>
      <c r="T30" s="23"/>
      <c r="U30" s="23"/>
    </row>
    <row r="31" spans="1:21" ht="16.5" x14ac:dyDescent="0.3">
      <c r="A31" s="23"/>
      <c r="B31" s="23"/>
      <c r="C31" s="23"/>
      <c r="D31" s="23"/>
      <c r="E31" s="23"/>
      <c r="F31" s="75"/>
      <c r="G31" s="23"/>
      <c r="H31" s="23"/>
      <c r="I31" s="23"/>
      <c r="J31" s="23"/>
      <c r="K31" s="23"/>
      <c r="L31" s="23"/>
      <c r="M31" s="23"/>
      <c r="N31" s="23"/>
      <c r="O31" s="23"/>
      <c r="P31" s="23"/>
      <c r="Q31" s="23"/>
      <c r="R31" s="23"/>
      <c r="S31" s="23"/>
      <c r="T31" s="23"/>
      <c r="U31" s="23"/>
    </row>
    <row r="32" spans="1:21" ht="16.5" x14ac:dyDescent="0.3">
      <c r="A32" s="23"/>
      <c r="B32" s="23"/>
      <c r="C32" s="23"/>
      <c r="D32" s="23"/>
      <c r="E32" s="23"/>
      <c r="F32" s="75"/>
      <c r="G32" s="23"/>
      <c r="H32" s="23"/>
      <c r="I32" s="23"/>
      <c r="J32" s="23"/>
      <c r="K32" s="23"/>
      <c r="L32" s="23"/>
      <c r="M32" s="23"/>
      <c r="N32" s="23"/>
      <c r="O32" s="23"/>
      <c r="P32" s="23"/>
      <c r="Q32" s="23"/>
      <c r="R32" s="23"/>
      <c r="S32" s="23"/>
      <c r="T32" s="23"/>
      <c r="U32" s="23"/>
    </row>
    <row r="33" spans="1:21" ht="16.5" x14ac:dyDescent="0.3">
      <c r="A33" s="23"/>
      <c r="B33" s="23"/>
      <c r="C33" s="23"/>
      <c r="D33" s="23"/>
      <c r="E33" s="23"/>
      <c r="F33" s="75"/>
      <c r="G33" s="23"/>
      <c r="H33" s="23"/>
      <c r="I33" s="23"/>
      <c r="J33" s="23"/>
      <c r="K33" s="23"/>
      <c r="L33" s="23"/>
      <c r="M33" s="23"/>
      <c r="N33" s="23"/>
      <c r="O33" s="23"/>
      <c r="P33" s="23"/>
      <c r="Q33" s="23"/>
      <c r="R33" s="23"/>
      <c r="S33" s="23"/>
      <c r="T33" s="23"/>
      <c r="U33" s="23"/>
    </row>
    <row r="34" spans="1:21" ht="16.5" x14ac:dyDescent="0.3">
      <c r="A34" s="23"/>
      <c r="B34" s="23"/>
      <c r="C34" s="23"/>
      <c r="D34" s="23"/>
      <c r="E34" s="23"/>
      <c r="F34" s="75"/>
      <c r="G34" s="23"/>
      <c r="H34" s="23"/>
      <c r="I34" s="23"/>
      <c r="J34" s="23"/>
      <c r="K34" s="23"/>
      <c r="L34" s="23"/>
      <c r="M34" s="23"/>
      <c r="N34" s="23"/>
      <c r="O34" s="23"/>
      <c r="P34" s="23"/>
      <c r="Q34" s="23"/>
      <c r="R34" s="23"/>
      <c r="S34" s="23"/>
      <c r="T34" s="23"/>
      <c r="U34" s="23"/>
    </row>
    <row r="35" spans="1:21" ht="16.5" x14ac:dyDescent="0.3">
      <c r="A35" s="23"/>
      <c r="B35" s="23"/>
      <c r="C35" s="23"/>
      <c r="D35" s="23"/>
      <c r="E35" s="23"/>
      <c r="F35" s="23"/>
      <c r="G35" s="23"/>
      <c r="H35" s="23"/>
      <c r="I35" s="23"/>
      <c r="J35" s="23"/>
      <c r="K35" s="23"/>
      <c r="L35" s="23"/>
      <c r="M35" s="23"/>
      <c r="N35" s="23"/>
      <c r="O35" s="23"/>
      <c r="P35" s="23"/>
      <c r="Q35" s="23"/>
      <c r="R35" s="23"/>
      <c r="S35" s="23"/>
      <c r="T35" s="23"/>
      <c r="U35" s="23"/>
    </row>
    <row r="36" spans="1:21" ht="16.5" x14ac:dyDescent="0.3">
      <c r="A36" s="23"/>
      <c r="B36" s="23"/>
      <c r="C36" s="23"/>
      <c r="D36" s="23"/>
      <c r="E36" s="23"/>
      <c r="F36" s="23"/>
      <c r="G36" s="23"/>
      <c r="H36" s="23"/>
      <c r="I36" s="23"/>
      <c r="J36" s="23"/>
      <c r="K36" s="23"/>
      <c r="L36" s="23"/>
      <c r="M36" s="23"/>
      <c r="N36" s="23"/>
      <c r="O36" s="23"/>
      <c r="P36" s="23"/>
      <c r="Q36" s="23"/>
      <c r="R36" s="23"/>
      <c r="S36" s="23"/>
      <c r="T36" s="23"/>
      <c r="U36" s="23"/>
    </row>
    <row r="37" spans="1:21" ht="16.5" x14ac:dyDescent="0.3">
      <c r="A37" s="23"/>
      <c r="B37" s="23"/>
      <c r="C37" s="23"/>
      <c r="D37" s="23"/>
      <c r="E37" s="23"/>
      <c r="F37" s="23"/>
      <c r="G37" s="23"/>
      <c r="H37" s="23"/>
      <c r="I37" s="23"/>
      <c r="J37" s="23"/>
      <c r="K37" s="23"/>
      <c r="L37" s="23"/>
      <c r="M37" s="23"/>
      <c r="N37" s="23"/>
      <c r="O37" s="23"/>
      <c r="P37" s="23"/>
      <c r="Q37" s="23"/>
      <c r="R37" s="23"/>
      <c r="S37" s="23"/>
      <c r="T37" s="23"/>
      <c r="U37" s="23"/>
    </row>
    <row r="38" spans="1:21" ht="16.5" x14ac:dyDescent="0.3">
      <c r="A38" s="23"/>
      <c r="B38" s="23"/>
      <c r="C38" s="23"/>
      <c r="D38" s="23"/>
      <c r="E38" s="23"/>
      <c r="F38" s="23"/>
      <c r="G38" s="23"/>
      <c r="H38" s="23"/>
      <c r="I38" s="23"/>
      <c r="J38" s="23"/>
      <c r="K38" s="23"/>
      <c r="L38" s="23"/>
      <c r="M38" s="23"/>
      <c r="N38" s="23"/>
      <c r="O38" s="23"/>
      <c r="P38" s="23"/>
      <c r="Q38" s="23"/>
      <c r="R38" s="23"/>
      <c r="S38" s="23"/>
      <c r="T38" s="23"/>
      <c r="U38" s="23"/>
    </row>
    <row r="39" spans="1:21" ht="16.5" x14ac:dyDescent="0.3">
      <c r="A39" s="23"/>
      <c r="B39" s="23"/>
      <c r="C39" s="23"/>
      <c r="D39" s="23"/>
      <c r="E39" s="23"/>
      <c r="F39" s="23"/>
      <c r="G39" s="23"/>
      <c r="H39" s="23"/>
      <c r="I39" s="23"/>
      <c r="J39" s="23"/>
      <c r="K39" s="23"/>
      <c r="L39" s="23"/>
      <c r="M39" s="23"/>
      <c r="N39" s="23"/>
      <c r="O39" s="23"/>
      <c r="P39" s="23"/>
      <c r="Q39" s="23"/>
      <c r="R39" s="23"/>
      <c r="S39" s="23"/>
      <c r="T39" s="23"/>
      <c r="U39" s="23"/>
    </row>
    <row r="40" spans="1:21" ht="16.5" x14ac:dyDescent="0.3">
      <c r="A40" s="23"/>
      <c r="B40" s="23"/>
      <c r="C40" s="23"/>
      <c r="D40" s="23"/>
      <c r="E40" s="23"/>
      <c r="F40" s="23"/>
      <c r="G40" s="23"/>
      <c r="H40" s="23"/>
      <c r="I40" s="23"/>
      <c r="J40" s="23"/>
      <c r="K40" s="23"/>
      <c r="L40" s="23"/>
      <c r="M40" s="23"/>
      <c r="N40" s="23"/>
      <c r="O40" s="23"/>
      <c r="P40" s="23"/>
      <c r="Q40" s="23"/>
      <c r="R40" s="23"/>
      <c r="S40" s="23"/>
      <c r="T40" s="23"/>
      <c r="U40" s="23"/>
    </row>
    <row r="41" spans="1:21" ht="16.5" x14ac:dyDescent="0.3">
      <c r="A41" s="23"/>
      <c r="B41" s="23"/>
      <c r="C41" s="23"/>
      <c r="D41" s="23"/>
      <c r="E41" s="23"/>
      <c r="F41" s="23"/>
      <c r="G41" s="23"/>
      <c r="H41" s="23"/>
      <c r="I41" s="23"/>
      <c r="J41" s="23"/>
      <c r="K41" s="23"/>
      <c r="L41" s="23"/>
      <c r="M41" s="23"/>
      <c r="N41" s="23"/>
      <c r="O41" s="23"/>
      <c r="P41" s="23"/>
      <c r="Q41" s="23"/>
      <c r="R41" s="23"/>
      <c r="S41" s="23"/>
      <c r="T41" s="23"/>
      <c r="U41" s="23"/>
    </row>
    <row r="42" spans="1:21" ht="16.5" x14ac:dyDescent="0.3">
      <c r="A42" s="23"/>
      <c r="B42" s="23"/>
      <c r="C42" s="23"/>
      <c r="D42" s="23"/>
      <c r="E42" s="23"/>
      <c r="F42" s="23"/>
      <c r="G42" s="23"/>
      <c r="H42" s="23"/>
      <c r="I42" s="23"/>
      <c r="J42" s="23"/>
      <c r="K42" s="23"/>
      <c r="L42" s="23"/>
      <c r="M42" s="23"/>
      <c r="N42" s="23"/>
      <c r="O42" s="23"/>
      <c r="P42" s="23"/>
      <c r="Q42" s="23"/>
      <c r="R42" s="23"/>
      <c r="S42" s="23"/>
      <c r="T42" s="23"/>
      <c r="U42" s="23"/>
    </row>
    <row r="43" spans="1:21" ht="16.5" x14ac:dyDescent="0.3">
      <c r="A43" s="23"/>
      <c r="B43" s="23"/>
      <c r="C43" s="23"/>
      <c r="D43" s="23"/>
      <c r="E43" s="23"/>
      <c r="F43" s="23"/>
      <c r="G43" s="23"/>
      <c r="H43" s="23"/>
      <c r="I43" s="23"/>
      <c r="J43" s="23"/>
      <c r="K43" s="23"/>
      <c r="L43" s="23"/>
      <c r="M43" s="23"/>
      <c r="N43" s="23"/>
      <c r="O43" s="23"/>
      <c r="P43" s="23"/>
      <c r="Q43" s="23"/>
      <c r="R43" s="23"/>
      <c r="S43" s="23"/>
      <c r="T43" s="23"/>
      <c r="U43" s="23"/>
    </row>
    <row r="44" spans="1:21" ht="16.5" x14ac:dyDescent="0.3">
      <c r="A44" s="23"/>
      <c r="B44" s="23"/>
      <c r="C44" s="23"/>
      <c r="D44" s="23"/>
      <c r="E44" s="23"/>
      <c r="F44" s="23"/>
      <c r="G44" s="23"/>
      <c r="H44" s="23"/>
      <c r="I44" s="23"/>
      <c r="J44" s="23"/>
      <c r="K44" s="23"/>
      <c r="L44" s="23"/>
      <c r="M44" s="23"/>
      <c r="N44" s="23"/>
      <c r="O44" s="23"/>
      <c r="P44" s="23"/>
      <c r="Q44" s="23"/>
      <c r="R44" s="23"/>
      <c r="S44" s="23"/>
      <c r="T44" s="23"/>
      <c r="U44" s="23"/>
    </row>
    <row r="45" spans="1:21" ht="16.5" x14ac:dyDescent="0.3">
      <c r="A45" s="23"/>
      <c r="B45" s="23"/>
      <c r="C45" s="23"/>
      <c r="D45" s="23"/>
      <c r="E45" s="23"/>
      <c r="F45" s="23"/>
      <c r="G45" s="23"/>
      <c r="H45" s="23"/>
      <c r="I45" s="23"/>
      <c r="J45" s="23"/>
      <c r="K45" s="23"/>
      <c r="L45" s="23"/>
      <c r="M45" s="23"/>
      <c r="N45" s="23"/>
      <c r="O45" s="23"/>
      <c r="P45" s="23"/>
      <c r="Q45" s="23"/>
      <c r="R45" s="23"/>
      <c r="S45" s="23"/>
      <c r="T45" s="23"/>
      <c r="U45" s="23"/>
    </row>
    <row r="46" spans="1:21" ht="16.5" x14ac:dyDescent="0.3">
      <c r="A46" s="23"/>
      <c r="B46" s="23"/>
      <c r="C46" s="23"/>
      <c r="D46" s="23"/>
      <c r="E46" s="23"/>
      <c r="F46" s="23"/>
      <c r="G46" s="23"/>
      <c r="H46" s="23"/>
      <c r="I46" s="23"/>
      <c r="J46" s="23"/>
      <c r="K46" s="23"/>
      <c r="L46" s="23"/>
      <c r="M46" s="23"/>
      <c r="N46" s="23"/>
      <c r="O46" s="23"/>
      <c r="P46" s="23"/>
      <c r="Q46" s="23"/>
      <c r="R46" s="23"/>
      <c r="S46" s="23"/>
      <c r="T46" s="23"/>
      <c r="U46" s="23"/>
    </row>
    <row r="47" spans="1:21" ht="16.5" x14ac:dyDescent="0.3">
      <c r="A47" s="23"/>
      <c r="B47" s="23"/>
      <c r="C47" s="23"/>
      <c r="D47" s="23"/>
      <c r="E47" s="23"/>
      <c r="F47" s="23"/>
      <c r="G47" s="23"/>
      <c r="H47" s="23"/>
      <c r="I47" s="23"/>
      <c r="J47" s="23"/>
      <c r="K47" s="23"/>
      <c r="L47" s="23"/>
      <c r="M47" s="23"/>
      <c r="N47" s="23"/>
      <c r="O47" s="23"/>
      <c r="P47" s="23"/>
      <c r="Q47" s="23"/>
      <c r="R47" s="23"/>
      <c r="S47" s="23"/>
      <c r="T47" s="23"/>
      <c r="U47" s="23"/>
    </row>
    <row r="48" spans="1:21" ht="16.5" x14ac:dyDescent="0.3">
      <c r="A48" s="23"/>
      <c r="B48" s="23"/>
      <c r="C48" s="23"/>
      <c r="D48" s="23"/>
      <c r="E48" s="23"/>
      <c r="F48" s="23"/>
      <c r="G48" s="23"/>
      <c r="H48" s="23"/>
      <c r="I48" s="23"/>
      <c r="J48" s="23"/>
      <c r="K48" s="23"/>
      <c r="L48" s="23"/>
      <c r="M48" s="23"/>
      <c r="N48" s="23"/>
      <c r="O48" s="23"/>
      <c r="P48" s="23"/>
      <c r="Q48" s="23"/>
      <c r="R48" s="23"/>
      <c r="S48" s="23"/>
      <c r="T48" s="23"/>
      <c r="U48" s="23"/>
    </row>
    <row r="49" spans="1:21" ht="16.5" x14ac:dyDescent="0.3">
      <c r="A49" s="23"/>
      <c r="B49" s="23"/>
      <c r="C49" s="23"/>
      <c r="D49" s="23"/>
      <c r="E49" s="23"/>
      <c r="F49" s="23"/>
      <c r="G49" s="23"/>
      <c r="H49" s="23"/>
      <c r="I49" s="23"/>
      <c r="J49" s="23"/>
      <c r="K49" s="23"/>
      <c r="L49" s="23"/>
      <c r="M49" s="23"/>
      <c r="N49" s="23"/>
      <c r="O49" s="23"/>
      <c r="P49" s="23"/>
      <c r="Q49" s="23"/>
      <c r="R49" s="23"/>
      <c r="S49" s="23"/>
      <c r="T49" s="23"/>
      <c r="U49" s="23"/>
    </row>
    <row r="50" spans="1:21" ht="16.5" x14ac:dyDescent="0.3">
      <c r="A50" s="23"/>
      <c r="B50" s="23"/>
      <c r="C50" s="23"/>
      <c r="D50" s="23"/>
      <c r="E50" s="23"/>
      <c r="F50" s="23"/>
      <c r="G50" s="23"/>
      <c r="H50" s="23"/>
      <c r="I50" s="23"/>
      <c r="J50" s="23"/>
      <c r="K50" s="23"/>
      <c r="L50" s="23"/>
      <c r="M50" s="23"/>
      <c r="N50" s="23"/>
      <c r="O50" s="23"/>
      <c r="P50" s="23"/>
      <c r="Q50" s="23"/>
      <c r="R50" s="23"/>
      <c r="S50" s="23"/>
      <c r="T50" s="23"/>
      <c r="U50" s="23"/>
    </row>
    <row r="51" spans="1:21" ht="16.5" x14ac:dyDescent="0.3">
      <c r="A51" s="23"/>
      <c r="B51" s="23"/>
      <c r="C51" s="23"/>
      <c r="D51" s="23"/>
      <c r="E51" s="23"/>
      <c r="F51" s="23"/>
      <c r="G51" s="23"/>
      <c r="H51" s="23"/>
      <c r="I51" s="23"/>
      <c r="J51" s="23"/>
      <c r="K51" s="23"/>
      <c r="L51" s="23"/>
      <c r="M51" s="23"/>
      <c r="N51" s="23"/>
      <c r="O51" s="23"/>
      <c r="P51" s="23"/>
      <c r="Q51" s="23"/>
      <c r="R51" s="23"/>
      <c r="S51" s="23"/>
      <c r="T51" s="23"/>
      <c r="U51" s="23"/>
    </row>
    <row r="52" spans="1:21" ht="16.5" x14ac:dyDescent="0.3">
      <c r="A52" s="23"/>
      <c r="B52" s="23"/>
      <c r="C52" s="23"/>
      <c r="D52" s="23"/>
      <c r="E52" s="23"/>
      <c r="F52" s="23"/>
      <c r="G52" s="23"/>
      <c r="H52" s="23"/>
      <c r="I52" s="23"/>
      <c r="J52" s="23"/>
      <c r="K52" s="23"/>
      <c r="L52" s="23"/>
      <c r="M52" s="23"/>
      <c r="N52" s="23"/>
      <c r="O52" s="23"/>
      <c r="P52" s="23"/>
      <c r="Q52" s="23"/>
      <c r="R52" s="23"/>
      <c r="S52" s="23"/>
      <c r="T52" s="23"/>
      <c r="U52" s="23"/>
    </row>
  </sheetData>
  <mergeCells count="1">
    <mergeCell ref="C1:F3"/>
  </mergeCells>
  <dataValidations disablePrompts="1" count="1">
    <dataValidation type="custom" allowBlank="1" showInputMessage="1" showErrorMessage="1" errorTitle="Please try again!" error="Please enter a 10-digit phone number." sqref="E5:E17" xr:uid="{99F34983-712E-4649-BB1F-310298C5803A}">
      <formula1>AND(LEN(E5)=10,ISNUMBER(E5))</formula1>
    </dataValidation>
  </dataValidations>
  <hyperlinks>
    <hyperlink ref="F5" r:id="rId1" xr:uid="{5C1B4091-A8CA-47DB-AD73-08939966802B}"/>
    <hyperlink ref="F6" r:id="rId2" xr:uid="{E33F8A06-68F1-4293-A683-CA93B4A10022}"/>
    <hyperlink ref="F7" r:id="rId3" xr:uid="{EB52D1DE-76D6-45E7-9F3B-A1EC3658F6F5}"/>
    <hyperlink ref="F8" r:id="rId4" xr:uid="{9FEA5069-735D-4C62-8086-DB0EFBDEBFCA}"/>
    <hyperlink ref="F9" r:id="rId5" xr:uid="{E118B435-68E0-4D87-8BBF-70472CE0F636}"/>
  </hyperlinks>
  <pageMargins left="0.7" right="0.7" top="0.75" bottom="0.75" header="0.3" footer="0.3"/>
  <pageSetup orientation="portrait" r:id="rId6"/>
  <drawing r:id="rId7"/>
  <legacyDrawing r:id="rId8"/>
  <picture r:id="rId9"/>
  <controls>
    <mc:AlternateContent xmlns:mc="http://schemas.openxmlformats.org/markup-compatibility/2006">
      <mc:Choice Requires="x14">
        <control shapeId="15363" r:id="rId10" name="CommandButton2">
          <controlPr defaultSize="0" autoLine="0" r:id="rId11">
            <anchor moveWithCells="1">
              <from>
                <xdr:col>6</xdr:col>
                <xdr:colOff>85725</xdr:colOff>
                <xdr:row>0</xdr:row>
                <xdr:rowOff>123825</xdr:rowOff>
              </from>
              <to>
                <xdr:col>7</xdr:col>
                <xdr:colOff>304800</xdr:colOff>
                <xdr:row>2</xdr:row>
                <xdr:rowOff>85725</xdr:rowOff>
              </to>
            </anchor>
          </controlPr>
        </control>
      </mc:Choice>
      <mc:Fallback>
        <control shapeId="15363" r:id="rId10" name="CommandButton2"/>
      </mc:Fallback>
    </mc:AlternateContent>
    <mc:AlternateContent xmlns:mc="http://schemas.openxmlformats.org/markup-compatibility/2006">
      <mc:Choice Requires="x14">
        <control shapeId="15364" r:id="rId12" name="CommandButton3">
          <controlPr defaultSize="0" autoLine="0" r:id="rId13">
            <anchor moveWithCells="1">
              <from>
                <xdr:col>7</xdr:col>
                <xdr:colOff>352425</xdr:colOff>
                <xdr:row>0</xdr:row>
                <xdr:rowOff>114300</xdr:rowOff>
              </from>
              <to>
                <xdr:col>9</xdr:col>
                <xdr:colOff>257175</xdr:colOff>
                <xdr:row>2</xdr:row>
                <xdr:rowOff>85725</xdr:rowOff>
              </to>
            </anchor>
          </controlPr>
        </control>
      </mc:Choice>
      <mc:Fallback>
        <control shapeId="15364" r:id="rId12" name="CommandButton3"/>
      </mc:Fallback>
    </mc:AlternateContent>
    <mc:AlternateContent xmlns:mc="http://schemas.openxmlformats.org/markup-compatibility/2006">
      <mc:Choice Requires="x14">
        <control shapeId="15361" r:id="rId14" name="Button 1">
          <controlPr defaultSize="0" print="0" autoFill="0" autoPict="0" macro="[0]!Next_Worksheet">
            <anchor moveWithCells="1" sizeWithCells="1">
              <from>
                <xdr:col>4</xdr:col>
                <xdr:colOff>790575</xdr:colOff>
                <xdr:row>0</xdr:row>
                <xdr:rowOff>200025</xdr:rowOff>
              </from>
              <to>
                <xdr:col>5</xdr:col>
                <xdr:colOff>323850</xdr:colOff>
                <xdr:row>2</xdr:row>
                <xdr:rowOff>66675</xdr:rowOff>
              </to>
            </anchor>
          </controlPr>
        </control>
      </mc:Choice>
    </mc:AlternateContent>
    <mc:AlternateContent xmlns:mc="http://schemas.openxmlformats.org/markup-compatibility/2006">
      <mc:Choice Requires="x14">
        <control shapeId="15362" r:id="rId15" name="Button 2">
          <controlPr defaultSize="0" print="0" autoFill="0" autoPict="0" macro="[0]!Prev_Worksheet">
            <anchor moveWithCells="1" sizeWithCells="1">
              <from>
                <xdr:col>4</xdr:col>
                <xdr:colOff>47625</xdr:colOff>
                <xdr:row>0</xdr:row>
                <xdr:rowOff>200025</xdr:rowOff>
              </from>
              <to>
                <xdr:col>4</xdr:col>
                <xdr:colOff>781050</xdr:colOff>
                <xdr:row>2</xdr:row>
                <xdr:rowOff>66675</xdr:rowOff>
              </to>
            </anchor>
          </controlPr>
        </control>
      </mc:Choice>
    </mc:AlternateContent>
    <mc:AlternateContent xmlns:mc="http://schemas.openxmlformats.org/markup-compatibility/2006">
      <mc:Choice Requires="x14">
        <control shapeId="15365" r:id="rId16" name="Button 5">
          <controlPr defaultSize="0" print="0" autoFill="0" autoPict="0" macro="[0]!UpdateSalesAmount">
            <anchor moveWithCells="1" sizeWithCells="1">
              <from>
                <xdr:col>9</xdr:col>
                <xdr:colOff>285750</xdr:colOff>
                <xdr:row>0</xdr:row>
                <xdr:rowOff>104775</xdr:rowOff>
              </from>
              <to>
                <xdr:col>10</xdr:col>
                <xdr:colOff>1228725</xdr:colOff>
                <xdr:row>2</xdr:row>
                <xdr:rowOff>85725</xdr:rowOff>
              </to>
            </anchor>
          </controlPr>
        </control>
      </mc:Choice>
    </mc:AlternateContent>
    <mc:AlternateContent xmlns:mc="http://schemas.openxmlformats.org/markup-compatibility/2006">
      <mc:Choice Requires="x14">
        <control shapeId="15367" r:id="rId17" name="Button 7">
          <controlPr defaultSize="0" print="0" autoFill="0" autoPict="0" macro="[0]!SaveasPDF">
            <anchor moveWithCells="1" sizeWithCells="1">
              <from>
                <xdr:col>10</xdr:col>
                <xdr:colOff>1285875</xdr:colOff>
                <xdr:row>0</xdr:row>
                <xdr:rowOff>104775</xdr:rowOff>
              </from>
              <to>
                <xdr:col>13</xdr:col>
                <xdr:colOff>381000</xdr:colOff>
                <xdr:row>2</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4B2F1-57CA-4CEB-B8A7-E712E1194B58}">
  <sheetPr codeName="Sheet1"/>
  <dimension ref="A1:AE61"/>
  <sheetViews>
    <sheetView zoomScaleNormal="100" workbookViewId="0"/>
  </sheetViews>
  <sheetFormatPr defaultColWidth="8.85546875" defaultRowHeight="15" x14ac:dyDescent="0.25"/>
  <cols>
    <col min="1" max="1" width="20.140625" style="19" customWidth="1"/>
    <col min="2" max="2" width="11.42578125" style="19" customWidth="1"/>
    <col min="3" max="3" width="13" style="19" customWidth="1"/>
    <col min="4" max="4" width="14.42578125" style="19" customWidth="1"/>
    <col min="5" max="5" width="22.5703125" style="19" customWidth="1"/>
    <col min="6" max="6" width="17.42578125" style="19" customWidth="1"/>
    <col min="7" max="9" width="8.85546875" style="19"/>
    <col min="10" max="10" width="16.5703125" style="19" customWidth="1"/>
    <col min="11" max="11" width="12.140625" style="19" customWidth="1"/>
    <col min="12" max="12" width="8.28515625" style="19" customWidth="1"/>
    <col min="13" max="13" width="11.5703125" style="19" customWidth="1"/>
    <col min="14" max="14" width="22.85546875" style="19" customWidth="1"/>
    <col min="15" max="15" width="18" style="19" customWidth="1"/>
    <col min="16" max="16384" width="8.85546875" style="19"/>
  </cols>
  <sheetData>
    <row r="1" spans="1:31" ht="16.5" x14ac:dyDescent="0.3">
      <c r="A1" s="13"/>
      <c r="B1" s="13"/>
      <c r="C1" s="93" t="s">
        <v>111</v>
      </c>
      <c r="D1" s="87"/>
      <c r="E1" s="87"/>
      <c r="F1" s="87"/>
      <c r="G1" s="13"/>
      <c r="H1" s="13"/>
      <c r="I1" s="13"/>
      <c r="J1" s="13"/>
      <c r="K1" s="13"/>
      <c r="L1" s="13"/>
      <c r="M1" s="13"/>
      <c r="N1" s="13"/>
      <c r="O1" s="13"/>
      <c r="P1" s="13"/>
      <c r="Q1" s="13"/>
      <c r="R1" s="13"/>
      <c r="S1" s="1"/>
      <c r="T1" s="1"/>
      <c r="U1" s="1"/>
      <c r="V1" s="1"/>
      <c r="W1" s="1"/>
      <c r="X1" s="1"/>
      <c r="Y1" s="1"/>
      <c r="Z1" s="1"/>
      <c r="AA1" s="1"/>
      <c r="AB1" s="1"/>
      <c r="AC1" s="1"/>
      <c r="AD1" s="1"/>
      <c r="AE1" s="1"/>
    </row>
    <row r="2" spans="1:31" ht="16.5" x14ac:dyDescent="0.3">
      <c r="A2" s="13"/>
      <c r="B2" s="13"/>
      <c r="C2" s="87"/>
      <c r="D2" s="87"/>
      <c r="E2" s="87"/>
      <c r="F2" s="87"/>
      <c r="G2" s="13"/>
      <c r="H2" s="13"/>
      <c r="I2" s="13"/>
      <c r="J2" s="13"/>
      <c r="K2" s="13"/>
      <c r="L2" s="13"/>
      <c r="M2" s="78" t="s">
        <v>244</v>
      </c>
      <c r="N2" s="78">
        <f>DCOUNTA(A4:F27,E4,_xlnm.Criteria)</f>
        <v>13</v>
      </c>
      <c r="O2" s="13"/>
      <c r="P2" s="13"/>
      <c r="Q2" s="13"/>
      <c r="R2" s="13"/>
      <c r="S2" s="1"/>
      <c r="T2" s="1"/>
      <c r="U2" s="1"/>
      <c r="V2" s="1"/>
      <c r="W2" s="1"/>
      <c r="X2" s="1"/>
      <c r="Y2" s="1"/>
      <c r="Z2" s="1"/>
      <c r="AA2" s="1"/>
      <c r="AB2" s="1"/>
      <c r="AC2" s="1"/>
      <c r="AD2" s="1"/>
      <c r="AE2" s="1"/>
    </row>
    <row r="3" spans="1:31" ht="16.5" customHeight="1" x14ac:dyDescent="0.3">
      <c r="A3" s="2"/>
      <c r="B3" s="2"/>
      <c r="C3" s="87"/>
      <c r="D3" s="87"/>
      <c r="E3" s="87"/>
      <c r="F3" s="87"/>
      <c r="G3" s="13"/>
      <c r="H3" s="13"/>
      <c r="I3" s="13"/>
      <c r="J3" s="78" t="s">
        <v>242</v>
      </c>
      <c r="K3" s="78"/>
      <c r="L3" s="78"/>
      <c r="M3" s="79" t="s">
        <v>243</v>
      </c>
      <c r="N3" s="78"/>
      <c r="O3" s="78"/>
      <c r="P3" s="13"/>
      <c r="Q3" s="13"/>
      <c r="R3" s="13"/>
      <c r="S3" s="1"/>
      <c r="T3" s="1"/>
      <c r="U3" s="1"/>
      <c r="V3" s="1"/>
      <c r="W3" s="1"/>
      <c r="X3" s="1"/>
      <c r="Y3" s="1"/>
      <c r="Z3" s="1"/>
      <c r="AA3" s="1"/>
      <c r="AB3" s="1"/>
      <c r="AC3" s="1"/>
      <c r="AD3" s="1"/>
      <c r="AE3" s="1"/>
    </row>
    <row r="4" spans="1:31" ht="17.25" x14ac:dyDescent="0.35">
      <c r="A4" s="3" t="s">
        <v>112</v>
      </c>
      <c r="B4" s="3" t="s">
        <v>113</v>
      </c>
      <c r="C4" s="3" t="s">
        <v>101</v>
      </c>
      <c r="D4" s="3" t="s">
        <v>114</v>
      </c>
      <c r="E4" s="3" t="s">
        <v>115</v>
      </c>
      <c r="F4" s="3" t="s">
        <v>4</v>
      </c>
      <c r="G4" s="23"/>
      <c r="H4" s="23"/>
      <c r="I4" s="23"/>
      <c r="J4" s="3" t="s">
        <v>112</v>
      </c>
      <c r="K4" s="3" t="s">
        <v>113</v>
      </c>
      <c r="L4" s="3" t="s">
        <v>101</v>
      </c>
      <c r="M4" s="3" t="s">
        <v>114</v>
      </c>
      <c r="N4" s="3" t="s">
        <v>115</v>
      </c>
      <c r="O4" s="3" t="s">
        <v>4</v>
      </c>
      <c r="P4" s="23"/>
      <c r="Q4" s="23"/>
      <c r="R4" s="23"/>
    </row>
    <row r="5" spans="1:31" ht="16.5" x14ac:dyDescent="0.3">
      <c r="A5" s="6" t="s">
        <v>237</v>
      </c>
      <c r="B5" s="6">
        <v>400</v>
      </c>
      <c r="C5" s="7">
        <v>300</v>
      </c>
      <c r="D5" s="76">
        <v>44895</v>
      </c>
      <c r="E5" s="8" t="s">
        <v>235</v>
      </c>
      <c r="F5" s="9">
        <v>6734901593</v>
      </c>
      <c r="G5" s="23"/>
      <c r="H5" s="23"/>
      <c r="I5" s="23"/>
      <c r="J5" s="46"/>
      <c r="K5" s="46"/>
      <c r="L5" s="80"/>
      <c r="M5" s="47"/>
      <c r="N5" s="46"/>
      <c r="O5" s="81"/>
      <c r="P5" s="23"/>
      <c r="Q5" s="23"/>
      <c r="R5" s="23"/>
    </row>
    <row r="6" spans="1:31" ht="16.5" x14ac:dyDescent="0.3">
      <c r="A6" s="6" t="s">
        <v>121</v>
      </c>
      <c r="B6" s="6">
        <v>130</v>
      </c>
      <c r="C6" s="7">
        <v>400</v>
      </c>
      <c r="D6" s="76">
        <v>44877</v>
      </c>
      <c r="E6" s="8" t="s">
        <v>122</v>
      </c>
      <c r="F6" s="9">
        <v>5487619735</v>
      </c>
      <c r="G6" s="23"/>
      <c r="H6" s="23"/>
      <c r="I6" s="23"/>
      <c r="J6" s="6"/>
      <c r="K6" s="6"/>
      <c r="L6" s="7"/>
      <c r="M6" s="8"/>
      <c r="N6" s="6"/>
      <c r="O6" s="9"/>
      <c r="P6" s="23"/>
      <c r="Q6" s="23"/>
      <c r="R6" s="23"/>
    </row>
    <row r="7" spans="1:31" ht="16.5" x14ac:dyDescent="0.3">
      <c r="A7" s="6" t="s">
        <v>116</v>
      </c>
      <c r="B7" s="6" t="s">
        <v>117</v>
      </c>
      <c r="C7" s="7">
        <v>50</v>
      </c>
      <c r="D7" s="76">
        <v>44865</v>
      </c>
      <c r="E7" s="8" t="s">
        <v>118</v>
      </c>
      <c r="F7" s="9">
        <v>7258776669</v>
      </c>
      <c r="G7" s="23"/>
      <c r="H7" s="23"/>
      <c r="I7" s="23"/>
      <c r="J7" s="23"/>
      <c r="K7" s="23"/>
      <c r="L7" s="23"/>
      <c r="M7" s="23"/>
      <c r="N7" s="23"/>
      <c r="O7" s="23"/>
      <c r="P7" s="23"/>
      <c r="Q7" s="23"/>
      <c r="R7" s="23"/>
    </row>
    <row r="8" spans="1:31" ht="16.5" x14ac:dyDescent="0.3">
      <c r="A8" s="6" t="s">
        <v>119</v>
      </c>
      <c r="B8" s="6">
        <v>6000</v>
      </c>
      <c r="C8" s="7">
        <v>2000</v>
      </c>
      <c r="D8" s="76">
        <v>44871</v>
      </c>
      <c r="E8" s="8" t="s">
        <v>120</v>
      </c>
      <c r="F8" s="9">
        <v>4169572048</v>
      </c>
      <c r="G8" s="23"/>
      <c r="H8" s="23"/>
      <c r="I8" s="23"/>
      <c r="J8" s="23"/>
      <c r="K8" s="23"/>
      <c r="L8" s="23"/>
      <c r="M8" s="23"/>
      <c r="N8" s="23"/>
      <c r="O8" s="23"/>
      <c r="P8" s="23"/>
      <c r="Q8" s="23"/>
      <c r="R8" s="23"/>
    </row>
    <row r="9" spans="1:31" ht="16.5" x14ac:dyDescent="0.3">
      <c r="A9" s="6" t="s">
        <v>236</v>
      </c>
      <c r="B9" s="6">
        <v>900</v>
      </c>
      <c r="C9" s="7">
        <v>1000</v>
      </c>
      <c r="D9" s="76">
        <v>44873</v>
      </c>
      <c r="E9" s="8" t="s">
        <v>238</v>
      </c>
      <c r="F9" s="9">
        <v>5461547896</v>
      </c>
      <c r="G9" s="23"/>
      <c r="H9" s="23"/>
      <c r="I9" s="23"/>
      <c r="J9" s="23"/>
      <c r="K9" s="23"/>
      <c r="L9" s="23"/>
      <c r="M9" s="23"/>
      <c r="N9" s="23"/>
      <c r="O9" s="23"/>
      <c r="P9" s="23"/>
      <c r="Q9" s="23"/>
      <c r="R9" s="23"/>
    </row>
    <row r="10" spans="1:31" ht="16.5" x14ac:dyDescent="0.3">
      <c r="A10" s="6" t="s">
        <v>237</v>
      </c>
      <c r="B10" s="6">
        <v>700</v>
      </c>
      <c r="C10" s="7">
        <v>500</v>
      </c>
      <c r="D10" s="76">
        <v>44880</v>
      </c>
      <c r="E10" s="6" t="s">
        <v>120</v>
      </c>
      <c r="F10" s="9">
        <v>4169572048</v>
      </c>
      <c r="G10" s="23"/>
      <c r="H10" s="23"/>
      <c r="I10" s="23"/>
      <c r="J10" s="23"/>
      <c r="K10" s="23"/>
      <c r="L10" s="23"/>
      <c r="M10" s="23"/>
      <c r="N10" s="23"/>
      <c r="O10" s="23"/>
      <c r="P10" s="23"/>
      <c r="Q10" s="23"/>
      <c r="R10" s="23"/>
    </row>
    <row r="11" spans="1:31" ht="16.5" x14ac:dyDescent="0.3">
      <c r="A11" s="6" t="s">
        <v>119</v>
      </c>
      <c r="B11" s="6">
        <v>50</v>
      </c>
      <c r="C11" s="7">
        <v>100</v>
      </c>
      <c r="D11" s="76">
        <v>44867</v>
      </c>
      <c r="E11" s="6" t="s">
        <v>118</v>
      </c>
      <c r="F11" s="9">
        <v>7258776669</v>
      </c>
      <c r="G11" s="23"/>
      <c r="H11" s="23"/>
      <c r="I11" s="23"/>
      <c r="J11" s="23"/>
      <c r="K11" s="23"/>
      <c r="L11" s="23"/>
      <c r="M11" s="23"/>
      <c r="N11" s="23"/>
      <c r="O11" s="23"/>
      <c r="P11" s="23"/>
      <c r="Q11" s="23"/>
      <c r="R11" s="23"/>
    </row>
    <row r="12" spans="1:31" ht="16.5" x14ac:dyDescent="0.3">
      <c r="A12" s="6" t="s">
        <v>239</v>
      </c>
      <c r="B12" s="6" t="s">
        <v>240</v>
      </c>
      <c r="C12" s="7">
        <v>8000</v>
      </c>
      <c r="D12" s="76">
        <v>44874</v>
      </c>
      <c r="E12" s="6" t="s">
        <v>241</v>
      </c>
      <c r="F12" s="9">
        <v>8974215613</v>
      </c>
      <c r="G12" s="23"/>
      <c r="H12" s="23"/>
      <c r="I12" s="23"/>
      <c r="J12" s="23"/>
      <c r="K12" s="23"/>
      <c r="L12" s="23"/>
      <c r="M12" s="23"/>
      <c r="N12" s="23"/>
      <c r="O12" s="23"/>
      <c r="P12" s="23"/>
      <c r="Q12" s="23"/>
      <c r="R12" s="23"/>
    </row>
    <row r="13" spans="1:31" ht="16.5" x14ac:dyDescent="0.3">
      <c r="A13" s="6" t="s">
        <v>119</v>
      </c>
      <c r="B13" s="6">
        <v>50</v>
      </c>
      <c r="C13" s="7">
        <v>100</v>
      </c>
      <c r="D13" s="76">
        <v>44856</v>
      </c>
      <c r="E13" s="6" t="s">
        <v>118</v>
      </c>
      <c r="F13" s="9">
        <v>7258776669</v>
      </c>
      <c r="G13" s="23"/>
      <c r="H13" s="23"/>
      <c r="I13" s="23"/>
      <c r="J13" s="23"/>
      <c r="K13" s="23"/>
      <c r="L13" s="23"/>
      <c r="M13" s="23"/>
      <c r="N13" s="23"/>
      <c r="O13" s="23"/>
      <c r="P13" s="23"/>
      <c r="Q13" s="23"/>
      <c r="R13" s="23"/>
    </row>
    <row r="14" spans="1:31" ht="16.5" x14ac:dyDescent="0.3">
      <c r="A14" s="6" t="s">
        <v>116</v>
      </c>
      <c r="B14" s="6" t="s">
        <v>117</v>
      </c>
      <c r="C14" s="7">
        <v>50</v>
      </c>
      <c r="D14" s="76">
        <v>44849</v>
      </c>
      <c r="E14" s="8" t="s">
        <v>118</v>
      </c>
      <c r="F14" s="9">
        <v>7258776669</v>
      </c>
      <c r="G14" s="23"/>
      <c r="H14" s="23"/>
      <c r="I14" s="23"/>
      <c r="J14" s="23"/>
      <c r="K14" s="23"/>
      <c r="L14" s="23"/>
      <c r="M14" s="23"/>
      <c r="N14" s="23"/>
      <c r="O14" s="23"/>
      <c r="P14" s="23"/>
      <c r="Q14" s="23"/>
      <c r="R14" s="23"/>
    </row>
    <row r="15" spans="1:31" ht="16.5" x14ac:dyDescent="0.3">
      <c r="A15" s="6" t="s">
        <v>237</v>
      </c>
      <c r="B15" s="6">
        <v>600</v>
      </c>
      <c r="C15" s="7">
        <v>400</v>
      </c>
      <c r="D15" s="76">
        <v>44867</v>
      </c>
      <c r="E15" s="8" t="s">
        <v>235</v>
      </c>
      <c r="F15" s="9">
        <v>6734901593</v>
      </c>
      <c r="G15" s="23"/>
      <c r="H15" s="23"/>
      <c r="I15" s="23"/>
      <c r="J15" s="23"/>
      <c r="K15" s="23"/>
      <c r="L15" s="23"/>
      <c r="M15" s="23"/>
      <c r="N15" s="23"/>
      <c r="O15" s="23"/>
      <c r="P15" s="23"/>
      <c r="Q15" s="23"/>
      <c r="R15" s="23"/>
    </row>
    <row r="16" spans="1:31" ht="16.5" x14ac:dyDescent="0.3">
      <c r="A16" s="6" t="s">
        <v>237</v>
      </c>
      <c r="B16" s="6">
        <v>200</v>
      </c>
      <c r="C16" s="7">
        <v>120</v>
      </c>
      <c r="D16" s="76">
        <v>44851</v>
      </c>
      <c r="E16" s="8" t="s">
        <v>235</v>
      </c>
      <c r="F16" s="9">
        <v>6734901593</v>
      </c>
      <c r="G16" s="23"/>
      <c r="H16" s="23"/>
      <c r="I16" s="23"/>
      <c r="J16" s="23"/>
      <c r="K16" s="23"/>
      <c r="L16" s="23"/>
      <c r="M16" s="23"/>
      <c r="N16" s="23"/>
      <c r="O16" s="23"/>
      <c r="P16" s="23"/>
      <c r="Q16" s="23"/>
      <c r="R16" s="23"/>
    </row>
    <row r="17" spans="1:18" ht="16.5" x14ac:dyDescent="0.3">
      <c r="A17" s="6" t="s">
        <v>121</v>
      </c>
      <c r="B17" s="6">
        <v>500</v>
      </c>
      <c r="C17" s="7">
        <v>400</v>
      </c>
      <c r="D17" s="76">
        <v>44848</v>
      </c>
      <c r="E17" s="8" t="s">
        <v>122</v>
      </c>
      <c r="F17" s="9">
        <v>5487619735</v>
      </c>
      <c r="G17" s="23"/>
      <c r="H17" s="23"/>
      <c r="I17" s="23"/>
      <c r="J17" s="23"/>
      <c r="K17" s="23"/>
      <c r="L17" s="23"/>
      <c r="M17" s="23"/>
      <c r="N17" s="23"/>
      <c r="O17" s="23"/>
      <c r="P17" s="23"/>
      <c r="Q17" s="23"/>
      <c r="R17" s="23"/>
    </row>
    <row r="18" spans="1:18" ht="16.5" x14ac:dyDescent="0.3">
      <c r="A18" s="6"/>
      <c r="B18" s="6"/>
      <c r="C18" s="7"/>
      <c r="D18" s="76"/>
      <c r="E18" s="6"/>
      <c r="F18" s="9"/>
      <c r="G18" s="23"/>
      <c r="H18" s="23"/>
      <c r="I18" s="23"/>
      <c r="J18" s="23"/>
      <c r="K18" s="23"/>
      <c r="L18" s="23"/>
      <c r="M18" s="23"/>
      <c r="N18" s="23"/>
      <c r="O18" s="23"/>
      <c r="P18" s="23"/>
      <c r="Q18" s="23"/>
      <c r="R18" s="23"/>
    </row>
    <row r="19" spans="1:18" ht="16.5" x14ac:dyDescent="0.3">
      <c r="A19" s="6"/>
      <c r="B19" s="6"/>
      <c r="C19" s="7"/>
      <c r="D19" s="76"/>
      <c r="E19" s="6"/>
      <c r="F19" s="9"/>
      <c r="G19" s="23"/>
      <c r="H19" s="23"/>
      <c r="I19" s="23"/>
      <c r="J19" s="23"/>
      <c r="K19" s="23"/>
      <c r="L19" s="23"/>
      <c r="M19" s="23"/>
      <c r="N19" s="23"/>
      <c r="O19" s="23"/>
      <c r="P19" s="23"/>
      <c r="Q19" s="23"/>
      <c r="R19" s="23"/>
    </row>
    <row r="20" spans="1:18" ht="16.5" x14ac:dyDescent="0.3">
      <c r="A20" s="6"/>
      <c r="B20" s="6"/>
      <c r="C20" s="7"/>
      <c r="D20" s="76"/>
      <c r="E20" s="6"/>
      <c r="F20" s="9"/>
      <c r="G20" s="23"/>
      <c r="H20" s="23"/>
      <c r="I20" s="23"/>
      <c r="J20" s="23"/>
      <c r="K20" s="23"/>
      <c r="L20" s="23"/>
      <c r="M20" s="23"/>
      <c r="N20" s="23"/>
      <c r="O20" s="23"/>
      <c r="P20" s="23"/>
      <c r="Q20" s="23"/>
      <c r="R20" s="23"/>
    </row>
    <row r="21" spans="1:18" ht="16.5" x14ac:dyDescent="0.3">
      <c r="A21" s="6"/>
      <c r="B21" s="6"/>
      <c r="C21" s="7"/>
      <c r="D21" s="76"/>
      <c r="E21" s="6"/>
      <c r="F21" s="9"/>
      <c r="G21" s="23"/>
      <c r="H21" s="23"/>
      <c r="I21" s="23"/>
      <c r="J21" s="23"/>
      <c r="K21" s="23"/>
      <c r="L21" s="23"/>
      <c r="M21" s="23"/>
      <c r="N21" s="23"/>
      <c r="O21" s="23"/>
      <c r="P21" s="23"/>
      <c r="Q21" s="23"/>
      <c r="R21" s="23"/>
    </row>
    <row r="22" spans="1:18" ht="16.5" x14ac:dyDescent="0.3">
      <c r="A22" s="6"/>
      <c r="B22" s="6"/>
      <c r="C22" s="7"/>
      <c r="D22" s="76"/>
      <c r="E22" s="6"/>
      <c r="F22" s="9"/>
      <c r="G22" s="23"/>
      <c r="H22" s="23"/>
      <c r="I22" s="23"/>
      <c r="J22" s="23"/>
      <c r="K22" s="23"/>
      <c r="L22" s="23"/>
      <c r="M22" s="23"/>
      <c r="N22" s="23"/>
      <c r="O22" s="23"/>
      <c r="P22" s="23"/>
      <c r="Q22" s="23"/>
      <c r="R22" s="23"/>
    </row>
    <row r="23" spans="1:18" ht="16.5" x14ac:dyDescent="0.3">
      <c r="A23" s="6"/>
      <c r="B23" s="6"/>
      <c r="C23" s="7"/>
      <c r="D23" s="76"/>
      <c r="E23" s="6"/>
      <c r="F23" s="9"/>
      <c r="G23" s="23"/>
      <c r="H23" s="23"/>
      <c r="I23" s="23"/>
      <c r="J23" s="23"/>
      <c r="K23" s="23"/>
      <c r="L23" s="23"/>
      <c r="M23" s="23"/>
      <c r="N23" s="23"/>
      <c r="O23" s="23"/>
      <c r="P23" s="23"/>
      <c r="Q23" s="23"/>
      <c r="R23" s="23"/>
    </row>
    <row r="24" spans="1:18" ht="16.5" x14ac:dyDescent="0.3">
      <c r="A24" s="6"/>
      <c r="B24" s="6"/>
      <c r="C24" s="7"/>
      <c r="D24" s="76"/>
      <c r="E24" s="6"/>
      <c r="F24" s="9"/>
      <c r="G24" s="23"/>
      <c r="H24" s="23"/>
      <c r="I24" s="23"/>
      <c r="J24" s="23"/>
      <c r="K24" s="23"/>
      <c r="L24" s="23"/>
      <c r="M24" s="23"/>
      <c r="N24" s="23"/>
      <c r="O24" s="23"/>
      <c r="P24" s="23"/>
      <c r="Q24" s="23"/>
      <c r="R24" s="23"/>
    </row>
    <row r="25" spans="1:18" ht="16.5" x14ac:dyDescent="0.3">
      <c r="A25" s="6"/>
      <c r="B25" s="67"/>
      <c r="C25" s="7"/>
      <c r="D25" s="76"/>
      <c r="E25" s="6"/>
      <c r="F25" s="9"/>
      <c r="G25" s="23"/>
      <c r="H25" s="23"/>
      <c r="I25" s="23"/>
      <c r="J25" s="23"/>
      <c r="K25" s="23"/>
      <c r="L25" s="23"/>
      <c r="M25" s="23"/>
      <c r="N25" s="23"/>
      <c r="O25" s="23"/>
      <c r="P25" s="23"/>
      <c r="Q25" s="23"/>
      <c r="R25" s="23"/>
    </row>
    <row r="26" spans="1:18" ht="16.5" x14ac:dyDescent="0.3">
      <c r="A26" s="6"/>
      <c r="B26" s="6"/>
      <c r="C26" s="7"/>
      <c r="D26" s="8"/>
      <c r="E26" s="6"/>
      <c r="F26" s="9"/>
      <c r="G26" s="23"/>
      <c r="H26" s="23"/>
      <c r="I26" s="23"/>
      <c r="J26" s="23"/>
      <c r="K26" s="23"/>
      <c r="L26" s="23"/>
      <c r="M26" s="23"/>
      <c r="N26" s="23"/>
      <c r="O26" s="23"/>
      <c r="P26" s="23"/>
      <c r="Q26" s="23"/>
      <c r="R26" s="23"/>
    </row>
    <row r="27" spans="1:18" ht="16.5" x14ac:dyDescent="0.3">
      <c r="A27" s="23"/>
      <c r="B27" s="23"/>
      <c r="C27" s="23"/>
      <c r="D27" s="77"/>
      <c r="E27" s="23"/>
      <c r="F27" s="23"/>
      <c r="G27" s="23"/>
      <c r="H27" s="23"/>
      <c r="I27" s="23"/>
      <c r="J27" s="23"/>
      <c r="K27" s="23"/>
      <c r="L27" s="23"/>
      <c r="M27" s="23"/>
      <c r="N27" s="23"/>
      <c r="O27" s="23"/>
      <c r="P27" s="23"/>
      <c r="Q27" s="23"/>
      <c r="R27" s="23"/>
    </row>
    <row r="28" spans="1:18" ht="16.5" x14ac:dyDescent="0.3">
      <c r="A28" s="23"/>
      <c r="B28" s="23"/>
      <c r="C28" s="23"/>
      <c r="D28" s="23"/>
      <c r="E28" s="23"/>
      <c r="F28" s="23"/>
      <c r="G28" s="23"/>
      <c r="H28" s="23"/>
      <c r="I28" s="23"/>
      <c r="J28" s="23"/>
      <c r="K28" s="23"/>
      <c r="L28" s="23"/>
      <c r="M28" s="23"/>
      <c r="N28" s="23"/>
      <c r="O28" s="23"/>
      <c r="P28" s="23"/>
      <c r="Q28" s="23"/>
      <c r="R28" s="23"/>
    </row>
    <row r="29" spans="1:18" ht="16.5" x14ac:dyDescent="0.3">
      <c r="A29" s="23"/>
      <c r="B29" s="23"/>
      <c r="C29" s="23"/>
      <c r="D29" s="23"/>
      <c r="E29" s="23"/>
      <c r="F29" s="23"/>
      <c r="G29" s="23"/>
      <c r="H29" s="23"/>
      <c r="I29" s="23"/>
      <c r="J29" s="23"/>
      <c r="K29" s="23"/>
      <c r="L29" s="23"/>
      <c r="M29" s="23"/>
      <c r="N29" s="23"/>
      <c r="O29" s="23"/>
      <c r="P29" s="23"/>
      <c r="Q29" s="23"/>
      <c r="R29" s="23"/>
    </row>
    <row r="30" spans="1:18" ht="16.5" x14ac:dyDescent="0.3">
      <c r="A30" s="23"/>
      <c r="B30" s="23"/>
      <c r="C30" s="23"/>
      <c r="D30" s="23"/>
      <c r="E30" s="23"/>
      <c r="F30" s="23"/>
      <c r="G30" s="23"/>
      <c r="H30" s="23"/>
      <c r="I30" s="23"/>
      <c r="J30" s="23"/>
      <c r="K30" s="23"/>
      <c r="L30" s="23"/>
      <c r="M30" s="23"/>
      <c r="N30" s="23"/>
      <c r="O30" s="23"/>
      <c r="P30" s="23"/>
      <c r="Q30" s="23"/>
      <c r="R30" s="23"/>
    </row>
    <row r="31" spans="1:18" ht="16.5" x14ac:dyDescent="0.3">
      <c r="A31" s="23"/>
      <c r="B31" s="23"/>
      <c r="C31" s="23"/>
      <c r="D31" s="23"/>
      <c r="E31" s="23"/>
      <c r="F31" s="23"/>
      <c r="G31" s="23"/>
      <c r="H31" s="23"/>
      <c r="I31" s="23"/>
      <c r="J31" s="23"/>
      <c r="K31" s="23"/>
      <c r="L31" s="23"/>
      <c r="M31" s="23"/>
      <c r="N31" s="23"/>
      <c r="O31" s="23"/>
      <c r="P31" s="23"/>
      <c r="Q31" s="23"/>
      <c r="R31" s="23"/>
    </row>
    <row r="32" spans="1:18" ht="16.5" x14ac:dyDescent="0.3">
      <c r="A32" s="23"/>
      <c r="B32" s="23"/>
      <c r="C32" s="23"/>
      <c r="D32" s="23"/>
      <c r="E32" s="23"/>
      <c r="F32" s="23"/>
      <c r="G32" s="23"/>
      <c r="H32" s="23"/>
      <c r="I32" s="23"/>
      <c r="J32" s="23"/>
      <c r="K32" s="23"/>
      <c r="L32" s="23"/>
      <c r="M32" s="23"/>
      <c r="N32" s="23"/>
      <c r="O32" s="23"/>
      <c r="P32" s="23"/>
      <c r="Q32" s="23"/>
      <c r="R32" s="23"/>
    </row>
    <row r="33" spans="1:18" ht="16.5" x14ac:dyDescent="0.3">
      <c r="A33" s="23"/>
      <c r="B33" s="23"/>
      <c r="C33" s="23"/>
      <c r="D33" s="23"/>
      <c r="E33" s="23"/>
      <c r="F33" s="23"/>
      <c r="G33" s="23"/>
      <c r="H33" s="23"/>
      <c r="I33" s="23"/>
      <c r="J33" s="23"/>
      <c r="K33" s="23"/>
      <c r="L33" s="23"/>
      <c r="M33" s="23"/>
      <c r="N33" s="23"/>
      <c r="O33" s="23"/>
      <c r="P33" s="23"/>
      <c r="Q33" s="23"/>
      <c r="R33" s="23"/>
    </row>
    <row r="34" spans="1:18" ht="16.5" x14ac:dyDescent="0.3">
      <c r="A34" s="23"/>
      <c r="B34" s="23"/>
      <c r="C34" s="23"/>
      <c r="D34" s="23"/>
      <c r="E34" s="23"/>
      <c r="F34" s="23"/>
      <c r="G34" s="23"/>
      <c r="H34" s="23"/>
      <c r="I34" s="23"/>
      <c r="J34" s="23"/>
      <c r="K34" s="23"/>
      <c r="L34" s="23"/>
      <c r="M34" s="23"/>
      <c r="N34" s="23"/>
      <c r="O34" s="23"/>
      <c r="P34" s="23"/>
      <c r="Q34" s="23"/>
      <c r="R34" s="23"/>
    </row>
    <row r="35" spans="1:18" ht="16.5" x14ac:dyDescent="0.3">
      <c r="A35" s="23"/>
      <c r="B35" s="23"/>
      <c r="C35" s="23"/>
      <c r="D35" s="23"/>
      <c r="E35" s="23"/>
      <c r="F35" s="23"/>
      <c r="G35" s="23"/>
      <c r="H35" s="23"/>
      <c r="I35" s="23"/>
      <c r="J35" s="23"/>
      <c r="K35" s="23"/>
      <c r="L35" s="23"/>
      <c r="M35" s="23"/>
      <c r="N35" s="23"/>
      <c r="O35" s="23"/>
      <c r="P35" s="23"/>
      <c r="Q35" s="23"/>
      <c r="R35" s="23"/>
    </row>
    <row r="36" spans="1:18" ht="16.5" x14ac:dyDescent="0.3">
      <c r="A36" s="23"/>
      <c r="B36" s="23"/>
      <c r="C36" s="23"/>
      <c r="D36" s="23"/>
      <c r="E36" s="23"/>
      <c r="F36" s="23"/>
      <c r="G36" s="23"/>
      <c r="H36" s="23"/>
      <c r="I36" s="23"/>
      <c r="J36" s="23"/>
      <c r="K36" s="23"/>
      <c r="L36" s="23"/>
      <c r="M36" s="23"/>
      <c r="N36" s="23"/>
      <c r="O36" s="23"/>
      <c r="P36" s="23"/>
      <c r="Q36" s="23"/>
      <c r="R36" s="23"/>
    </row>
    <row r="37" spans="1:18" ht="16.5" x14ac:dyDescent="0.3">
      <c r="A37" s="23"/>
      <c r="B37" s="23"/>
      <c r="C37" s="23"/>
      <c r="D37" s="23"/>
      <c r="E37" s="23"/>
      <c r="F37" s="23"/>
      <c r="G37" s="23"/>
      <c r="H37" s="23"/>
      <c r="I37" s="23"/>
      <c r="J37" s="23"/>
      <c r="K37" s="23"/>
      <c r="L37" s="23"/>
      <c r="M37" s="23"/>
      <c r="N37" s="23"/>
      <c r="O37" s="23"/>
      <c r="P37" s="23"/>
      <c r="Q37" s="23"/>
      <c r="R37" s="23"/>
    </row>
    <row r="38" spans="1:18" ht="16.5" x14ac:dyDescent="0.3">
      <c r="A38" s="23"/>
      <c r="B38" s="23"/>
      <c r="C38" s="23"/>
      <c r="D38" s="23"/>
      <c r="E38" s="23"/>
      <c r="F38" s="23"/>
      <c r="G38" s="23"/>
      <c r="H38" s="23"/>
      <c r="I38" s="23"/>
      <c r="J38" s="23"/>
      <c r="K38" s="23"/>
      <c r="L38" s="23"/>
      <c r="M38" s="23"/>
      <c r="N38" s="23"/>
      <c r="O38" s="23"/>
      <c r="P38" s="23"/>
      <c r="Q38" s="23"/>
      <c r="R38" s="23"/>
    </row>
    <row r="39" spans="1:18" ht="16.5" x14ac:dyDescent="0.3">
      <c r="A39" s="23"/>
      <c r="B39" s="23"/>
      <c r="C39" s="23"/>
      <c r="D39" s="23"/>
      <c r="E39" s="23"/>
      <c r="F39" s="23"/>
      <c r="G39" s="23"/>
      <c r="H39" s="23"/>
      <c r="I39" s="23"/>
      <c r="J39" s="23"/>
      <c r="K39" s="23"/>
      <c r="L39" s="23"/>
      <c r="M39" s="23"/>
      <c r="N39" s="23"/>
      <c r="O39" s="23"/>
      <c r="P39" s="23"/>
      <c r="Q39" s="23"/>
      <c r="R39" s="23"/>
    </row>
    <row r="40" spans="1:18" ht="16.5" x14ac:dyDescent="0.3">
      <c r="A40" s="23"/>
      <c r="B40" s="23"/>
      <c r="C40" s="23"/>
      <c r="D40" s="23"/>
      <c r="E40" s="23"/>
      <c r="F40" s="23"/>
      <c r="G40" s="23"/>
      <c r="H40" s="23"/>
      <c r="I40" s="23"/>
      <c r="J40" s="23"/>
      <c r="K40" s="23"/>
      <c r="L40" s="23"/>
      <c r="M40" s="23"/>
      <c r="N40" s="23"/>
      <c r="O40" s="23"/>
      <c r="P40" s="23"/>
      <c r="Q40" s="23"/>
      <c r="R40" s="23"/>
    </row>
    <row r="41" spans="1:18" ht="16.5" x14ac:dyDescent="0.3">
      <c r="A41" s="23"/>
      <c r="B41" s="23"/>
      <c r="C41" s="23"/>
      <c r="D41" s="23"/>
      <c r="E41" s="23"/>
      <c r="F41" s="23"/>
      <c r="G41" s="23"/>
      <c r="H41" s="23"/>
      <c r="I41" s="23"/>
      <c r="J41" s="23"/>
      <c r="K41" s="23"/>
      <c r="L41" s="23"/>
      <c r="M41" s="23"/>
      <c r="N41" s="23"/>
      <c r="O41" s="23"/>
      <c r="P41" s="23"/>
      <c r="Q41" s="23"/>
      <c r="R41" s="23"/>
    </row>
    <row r="42" spans="1:18" ht="16.5" x14ac:dyDescent="0.3">
      <c r="A42" s="23"/>
      <c r="B42" s="23"/>
      <c r="C42" s="23"/>
      <c r="D42" s="23"/>
      <c r="E42" s="23"/>
      <c r="F42" s="23"/>
      <c r="G42" s="23"/>
      <c r="H42" s="23"/>
      <c r="I42" s="23"/>
      <c r="J42" s="23"/>
      <c r="K42" s="23"/>
      <c r="L42" s="23"/>
      <c r="M42" s="23"/>
      <c r="N42" s="23"/>
      <c r="O42" s="23"/>
      <c r="P42" s="23"/>
      <c r="Q42" s="23"/>
      <c r="R42" s="23"/>
    </row>
    <row r="43" spans="1:18" ht="16.5" x14ac:dyDescent="0.3">
      <c r="A43" s="23"/>
      <c r="B43" s="23"/>
      <c r="C43" s="23"/>
      <c r="D43" s="23"/>
      <c r="E43" s="23"/>
      <c r="F43" s="23"/>
      <c r="G43" s="23"/>
      <c r="H43" s="23"/>
      <c r="I43" s="23"/>
      <c r="J43" s="23"/>
      <c r="K43" s="23"/>
      <c r="L43" s="23"/>
      <c r="M43" s="23"/>
      <c r="N43" s="23"/>
      <c r="O43" s="23"/>
      <c r="P43" s="23"/>
      <c r="Q43" s="23"/>
      <c r="R43" s="23"/>
    </row>
    <row r="44" spans="1:18" ht="16.5" x14ac:dyDescent="0.3">
      <c r="A44" s="23"/>
      <c r="B44" s="23"/>
      <c r="C44" s="23"/>
      <c r="D44" s="23"/>
      <c r="E44" s="23"/>
      <c r="F44" s="23"/>
      <c r="G44" s="23"/>
      <c r="H44" s="23"/>
      <c r="I44" s="23"/>
      <c r="J44" s="23"/>
      <c r="K44" s="23"/>
      <c r="L44" s="23"/>
      <c r="M44" s="23"/>
      <c r="N44" s="23"/>
      <c r="O44" s="23"/>
      <c r="P44" s="23"/>
      <c r="Q44" s="23"/>
      <c r="R44" s="23"/>
    </row>
    <row r="45" spans="1:18" ht="16.5" x14ac:dyDescent="0.3">
      <c r="A45" s="23"/>
      <c r="B45" s="23"/>
      <c r="C45" s="23"/>
      <c r="D45" s="23"/>
      <c r="E45" s="23"/>
      <c r="F45" s="23"/>
      <c r="G45" s="23"/>
      <c r="H45" s="23"/>
      <c r="I45" s="23"/>
      <c r="J45" s="23"/>
      <c r="K45" s="23"/>
      <c r="L45" s="23"/>
      <c r="M45" s="23"/>
      <c r="N45" s="23"/>
      <c r="O45" s="23"/>
      <c r="P45" s="23"/>
      <c r="Q45" s="23"/>
      <c r="R45" s="23"/>
    </row>
    <row r="46" spans="1:18" ht="16.5" x14ac:dyDescent="0.3">
      <c r="A46" s="23"/>
      <c r="B46" s="23"/>
      <c r="C46" s="23"/>
      <c r="D46" s="23"/>
      <c r="E46" s="23"/>
      <c r="F46" s="23"/>
      <c r="G46" s="23"/>
      <c r="H46" s="23"/>
      <c r="I46" s="23"/>
      <c r="J46" s="23"/>
      <c r="K46" s="23"/>
      <c r="L46" s="23"/>
      <c r="M46" s="23"/>
      <c r="N46" s="23"/>
      <c r="O46" s="23"/>
      <c r="P46" s="23"/>
      <c r="Q46" s="23"/>
      <c r="R46" s="23"/>
    </row>
    <row r="47" spans="1:18" ht="16.5" x14ac:dyDescent="0.3">
      <c r="A47" s="23"/>
      <c r="B47" s="23"/>
      <c r="C47" s="23"/>
      <c r="D47" s="23"/>
      <c r="E47" s="23"/>
      <c r="F47" s="23"/>
      <c r="G47" s="23"/>
      <c r="H47" s="23"/>
      <c r="I47" s="23"/>
      <c r="J47" s="23"/>
      <c r="K47" s="23"/>
      <c r="L47" s="23"/>
      <c r="M47" s="23"/>
      <c r="N47" s="23"/>
      <c r="O47" s="23"/>
      <c r="P47" s="23"/>
      <c r="Q47" s="23"/>
      <c r="R47" s="23"/>
    </row>
    <row r="48" spans="1:18" ht="16.5" x14ac:dyDescent="0.3">
      <c r="A48" s="23"/>
      <c r="B48" s="23"/>
      <c r="C48" s="23"/>
      <c r="D48" s="23"/>
      <c r="E48" s="23"/>
      <c r="F48" s="23"/>
      <c r="G48" s="23"/>
      <c r="H48" s="23"/>
      <c r="I48" s="23"/>
      <c r="J48" s="23"/>
      <c r="K48" s="23"/>
      <c r="L48" s="23"/>
      <c r="M48" s="23"/>
      <c r="N48" s="23"/>
      <c r="O48" s="23"/>
      <c r="P48" s="23"/>
      <c r="Q48" s="23"/>
      <c r="R48" s="23"/>
    </row>
    <row r="49" spans="1:18" ht="16.5" x14ac:dyDescent="0.3">
      <c r="A49" s="23"/>
      <c r="B49" s="23"/>
      <c r="C49" s="23"/>
      <c r="D49" s="23"/>
      <c r="E49" s="23"/>
      <c r="F49" s="23"/>
      <c r="G49" s="23"/>
      <c r="H49" s="23"/>
      <c r="I49" s="23"/>
      <c r="J49" s="23"/>
      <c r="K49" s="23"/>
      <c r="L49" s="23"/>
      <c r="M49" s="23"/>
      <c r="N49" s="23"/>
      <c r="O49" s="23"/>
      <c r="P49" s="23"/>
      <c r="Q49" s="23"/>
      <c r="R49" s="23"/>
    </row>
    <row r="50" spans="1:18" ht="16.5" x14ac:dyDescent="0.3">
      <c r="A50" s="23"/>
      <c r="B50" s="23"/>
      <c r="C50" s="23"/>
      <c r="D50" s="23"/>
      <c r="E50" s="23"/>
      <c r="F50" s="23"/>
      <c r="G50" s="23"/>
      <c r="H50" s="23"/>
      <c r="I50" s="23"/>
      <c r="J50" s="23"/>
      <c r="K50" s="23"/>
      <c r="L50" s="23"/>
      <c r="M50" s="23"/>
      <c r="N50" s="23"/>
      <c r="O50" s="23"/>
      <c r="P50" s="23"/>
      <c r="Q50" s="23"/>
      <c r="R50" s="23"/>
    </row>
    <row r="51" spans="1:18" ht="16.5" x14ac:dyDescent="0.3">
      <c r="A51" s="23"/>
      <c r="B51" s="23"/>
      <c r="C51" s="23"/>
      <c r="D51" s="23"/>
      <c r="E51" s="23"/>
      <c r="F51" s="23"/>
      <c r="G51" s="23"/>
      <c r="H51" s="23"/>
      <c r="I51" s="23"/>
      <c r="J51" s="23"/>
      <c r="K51" s="23"/>
      <c r="L51" s="23"/>
      <c r="M51" s="23"/>
      <c r="N51" s="23"/>
      <c r="O51" s="23"/>
      <c r="P51" s="23"/>
      <c r="Q51" s="23"/>
      <c r="R51" s="23"/>
    </row>
    <row r="52" spans="1:18" ht="16.5" x14ac:dyDescent="0.3">
      <c r="A52" s="23"/>
      <c r="B52" s="23"/>
      <c r="C52" s="23"/>
      <c r="D52" s="23"/>
      <c r="E52" s="23"/>
      <c r="F52" s="23"/>
      <c r="G52" s="23"/>
      <c r="H52" s="23"/>
      <c r="I52" s="23"/>
      <c r="J52" s="23"/>
      <c r="K52" s="23"/>
      <c r="L52" s="23"/>
      <c r="M52" s="23"/>
      <c r="N52" s="23"/>
      <c r="O52" s="23"/>
      <c r="P52" s="23"/>
      <c r="Q52" s="23"/>
      <c r="R52" s="23"/>
    </row>
    <row r="53" spans="1:18" ht="16.5" x14ac:dyDescent="0.3">
      <c r="A53" s="23"/>
      <c r="B53" s="23"/>
      <c r="C53" s="23"/>
      <c r="D53" s="23"/>
      <c r="E53" s="23"/>
      <c r="F53" s="23"/>
      <c r="G53" s="23"/>
      <c r="H53" s="23"/>
      <c r="I53" s="23"/>
      <c r="J53" s="23"/>
      <c r="K53" s="23"/>
      <c r="L53" s="23"/>
      <c r="M53" s="23"/>
      <c r="N53" s="23"/>
      <c r="O53" s="23"/>
      <c r="P53" s="23"/>
      <c r="Q53" s="23"/>
      <c r="R53" s="23"/>
    </row>
    <row r="54" spans="1:18" ht="16.5" x14ac:dyDescent="0.3">
      <c r="A54" s="23"/>
      <c r="B54" s="23"/>
      <c r="C54" s="23"/>
      <c r="D54" s="23"/>
      <c r="E54" s="23"/>
      <c r="F54" s="23"/>
      <c r="G54" s="23"/>
      <c r="H54" s="23"/>
      <c r="I54" s="23"/>
      <c r="J54" s="23"/>
      <c r="K54" s="23"/>
      <c r="L54" s="23"/>
      <c r="M54" s="23"/>
      <c r="N54" s="23"/>
      <c r="O54" s="23"/>
      <c r="P54" s="23"/>
      <c r="Q54" s="23"/>
      <c r="R54" s="23"/>
    </row>
    <row r="55" spans="1:18" ht="16.5" x14ac:dyDescent="0.3">
      <c r="A55" s="23"/>
      <c r="B55" s="23"/>
      <c r="C55" s="23"/>
      <c r="D55" s="23"/>
      <c r="E55" s="23"/>
      <c r="F55" s="23"/>
      <c r="G55" s="23"/>
      <c r="H55" s="23"/>
      <c r="I55" s="23"/>
      <c r="J55" s="23"/>
      <c r="K55" s="23"/>
      <c r="L55" s="23"/>
      <c r="M55" s="23"/>
      <c r="N55" s="23"/>
      <c r="O55" s="23"/>
      <c r="P55" s="23"/>
      <c r="Q55" s="23"/>
      <c r="R55" s="23"/>
    </row>
    <row r="56" spans="1:18" ht="16.5" x14ac:dyDescent="0.3">
      <c r="A56" s="23"/>
      <c r="B56" s="23"/>
      <c r="C56" s="23"/>
      <c r="D56" s="23"/>
      <c r="E56" s="23"/>
      <c r="F56" s="23"/>
      <c r="G56" s="23"/>
      <c r="H56" s="23"/>
      <c r="I56" s="23"/>
      <c r="J56" s="23"/>
      <c r="K56" s="23"/>
      <c r="L56" s="23"/>
      <c r="M56" s="23"/>
      <c r="N56" s="23"/>
      <c r="O56" s="23"/>
      <c r="P56" s="23"/>
      <c r="Q56" s="23"/>
      <c r="R56" s="23"/>
    </row>
    <row r="57" spans="1:18" ht="16.5" x14ac:dyDescent="0.3">
      <c r="A57" s="23"/>
      <c r="B57" s="23"/>
      <c r="C57" s="23"/>
      <c r="D57" s="23"/>
      <c r="E57" s="23"/>
      <c r="F57" s="23"/>
      <c r="G57" s="23"/>
      <c r="H57" s="23"/>
      <c r="I57" s="23"/>
      <c r="J57" s="23"/>
      <c r="K57" s="23"/>
      <c r="L57" s="23"/>
      <c r="M57" s="23"/>
      <c r="N57" s="23"/>
      <c r="O57" s="23"/>
      <c r="P57" s="23"/>
      <c r="Q57" s="23"/>
      <c r="R57" s="23"/>
    </row>
    <row r="58" spans="1:18" ht="16.5" x14ac:dyDescent="0.3">
      <c r="A58" s="23"/>
      <c r="B58" s="23"/>
      <c r="C58" s="23"/>
      <c r="D58" s="23"/>
      <c r="E58" s="23"/>
      <c r="F58" s="23"/>
      <c r="G58" s="23"/>
      <c r="H58" s="23"/>
      <c r="I58" s="23"/>
      <c r="J58" s="23"/>
      <c r="K58" s="23"/>
      <c r="L58" s="23"/>
      <c r="M58" s="23"/>
      <c r="N58" s="23"/>
      <c r="O58" s="23"/>
      <c r="P58" s="23"/>
      <c r="Q58" s="23"/>
      <c r="R58" s="23"/>
    </row>
    <row r="59" spans="1:18" ht="16.5" x14ac:dyDescent="0.3">
      <c r="A59" s="23"/>
      <c r="B59" s="23"/>
      <c r="C59" s="23"/>
      <c r="D59" s="23"/>
      <c r="E59" s="23"/>
      <c r="F59" s="23"/>
      <c r="G59" s="23"/>
      <c r="H59" s="23"/>
      <c r="I59" s="23"/>
      <c r="J59" s="23"/>
      <c r="K59" s="23"/>
      <c r="L59" s="23"/>
      <c r="M59" s="23"/>
      <c r="N59" s="23"/>
      <c r="O59" s="23"/>
      <c r="P59" s="23"/>
      <c r="Q59" s="23"/>
      <c r="R59" s="23"/>
    </row>
    <row r="60" spans="1:18" ht="16.5" x14ac:dyDescent="0.3">
      <c r="A60" s="23"/>
      <c r="B60" s="23"/>
      <c r="C60" s="23"/>
      <c r="D60" s="23"/>
      <c r="E60" s="23"/>
      <c r="F60" s="23"/>
      <c r="G60" s="23"/>
      <c r="H60" s="23"/>
      <c r="I60" s="23"/>
      <c r="J60" s="23"/>
      <c r="K60" s="23"/>
      <c r="L60" s="23"/>
      <c r="M60" s="23"/>
      <c r="N60" s="23"/>
      <c r="O60" s="23"/>
      <c r="P60" s="23"/>
      <c r="Q60" s="23"/>
      <c r="R60" s="23"/>
    </row>
    <row r="61" spans="1:18" ht="16.5" x14ac:dyDescent="0.3">
      <c r="A61" s="23"/>
      <c r="B61" s="23"/>
      <c r="C61" s="23"/>
      <c r="D61" s="23"/>
      <c r="E61" s="23"/>
      <c r="F61" s="23"/>
      <c r="G61" s="23"/>
      <c r="H61" s="23"/>
      <c r="I61" s="23"/>
      <c r="J61" s="23"/>
      <c r="K61" s="23"/>
      <c r="L61" s="23"/>
      <c r="M61" s="23"/>
      <c r="N61" s="23"/>
      <c r="O61" s="23"/>
      <c r="P61" s="23"/>
      <c r="Q61" s="23"/>
      <c r="R61" s="23"/>
    </row>
  </sheetData>
  <mergeCells count="1">
    <mergeCell ref="C1:F3"/>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6387" r:id="rId5" name="CommandButton4">
          <controlPr defaultSize="0" autoLine="0" autoPict="0" r:id="rId6">
            <anchor moveWithCells="1">
              <from>
                <xdr:col>7</xdr:col>
                <xdr:colOff>152400</xdr:colOff>
                <xdr:row>0</xdr:row>
                <xdr:rowOff>161925</xdr:rowOff>
              </from>
              <to>
                <xdr:col>8</xdr:col>
                <xdr:colOff>485775</xdr:colOff>
                <xdr:row>2</xdr:row>
                <xdr:rowOff>114300</xdr:rowOff>
              </to>
            </anchor>
          </controlPr>
        </control>
      </mc:Choice>
      <mc:Fallback>
        <control shapeId="16387" r:id="rId5" name="CommandButton4"/>
      </mc:Fallback>
    </mc:AlternateContent>
    <mc:AlternateContent xmlns:mc="http://schemas.openxmlformats.org/markup-compatibility/2006">
      <mc:Choice Requires="x14">
        <control shapeId="16388" r:id="rId7" name="CommandButton5">
          <controlPr defaultSize="0" autoLine="0" r:id="rId8">
            <anchor moveWithCells="1">
              <from>
                <xdr:col>15</xdr:col>
                <xdr:colOff>57150</xdr:colOff>
                <xdr:row>0</xdr:row>
                <xdr:rowOff>133350</xdr:rowOff>
              </from>
              <to>
                <xdr:col>16</xdr:col>
                <xdr:colOff>523875</xdr:colOff>
                <xdr:row>2</xdr:row>
                <xdr:rowOff>104775</xdr:rowOff>
              </to>
            </anchor>
          </controlPr>
        </control>
      </mc:Choice>
      <mc:Fallback>
        <control shapeId="16388" r:id="rId7" name="CommandButton5"/>
      </mc:Fallback>
    </mc:AlternateContent>
    <mc:AlternateContent xmlns:mc="http://schemas.openxmlformats.org/markup-compatibility/2006">
      <mc:Choice Requires="x14">
        <control shapeId="16385" r:id="rId9" name="Button 1">
          <controlPr defaultSize="0" print="0" autoFill="0" autoPict="0" macro="[0]!Next_Worksheet">
            <anchor moveWithCells="1" sizeWithCells="1">
              <from>
                <xdr:col>4</xdr:col>
                <xdr:colOff>742950</xdr:colOff>
                <xdr:row>1</xdr:row>
                <xdr:rowOff>19050</xdr:rowOff>
              </from>
              <to>
                <xdr:col>4</xdr:col>
                <xdr:colOff>1571625</xdr:colOff>
                <xdr:row>2</xdr:row>
                <xdr:rowOff>85725</xdr:rowOff>
              </to>
            </anchor>
          </controlPr>
        </control>
      </mc:Choice>
    </mc:AlternateContent>
    <mc:AlternateContent xmlns:mc="http://schemas.openxmlformats.org/markup-compatibility/2006">
      <mc:Choice Requires="x14">
        <control shapeId="16386" r:id="rId10" name="Button 2">
          <controlPr defaultSize="0" print="0" autoFill="0" autoPict="0" macro="[0]!Prev_Worksheet">
            <anchor moveWithCells="1" sizeWithCells="1">
              <from>
                <xdr:col>3</xdr:col>
                <xdr:colOff>1000125</xdr:colOff>
                <xdr:row>1</xdr:row>
                <xdr:rowOff>19050</xdr:rowOff>
              </from>
              <to>
                <xdr:col>4</xdr:col>
                <xdr:colOff>733425</xdr:colOff>
                <xdr:row>2</xdr:row>
                <xdr:rowOff>85725</xdr:rowOff>
              </to>
            </anchor>
          </controlPr>
        </control>
      </mc:Choice>
    </mc:AlternateContent>
    <mc:AlternateContent xmlns:mc="http://schemas.openxmlformats.org/markup-compatibility/2006">
      <mc:Choice Requires="x14">
        <control shapeId="16391" r:id="rId11" name="Button 7">
          <controlPr defaultSize="0" print="0" autoFill="0" autoPict="0" macro="[0]!Macro5">
            <anchor moveWithCells="1" sizeWithCells="1">
              <from>
                <xdr:col>17</xdr:col>
                <xdr:colOff>57150</xdr:colOff>
                <xdr:row>0</xdr:row>
                <xdr:rowOff>142875</xdr:rowOff>
              </from>
              <to>
                <xdr:col>18</xdr:col>
                <xdr:colOff>514350</xdr:colOff>
                <xdr:row>2</xdr:row>
                <xdr:rowOff>95250</xdr:rowOff>
              </to>
            </anchor>
          </controlPr>
        </control>
      </mc:Choice>
    </mc:AlternateContent>
    <mc:AlternateContent xmlns:mc="http://schemas.openxmlformats.org/markup-compatibility/2006">
      <mc:Choice Requires="x14">
        <control shapeId="16392" r:id="rId12" name="Button 8">
          <controlPr defaultSize="0" print="0" autoFill="0" autoPict="0" macro="[0]!Sup_clear">
            <anchor moveWithCells="1" sizeWithCells="1">
              <from>
                <xdr:col>19</xdr:col>
                <xdr:colOff>19050</xdr:colOff>
                <xdr:row>0</xdr:row>
                <xdr:rowOff>142875</xdr:rowOff>
              </from>
              <to>
                <xdr:col>20</xdr:col>
                <xdr:colOff>476250</xdr:colOff>
                <xdr:row>2</xdr:row>
                <xdr:rowOff>95250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A4A21-5269-9C40-9DD0-867BE5FE919C}">
  <sheetPr codeName="Sheet6"/>
  <dimension ref="A1:AL58"/>
  <sheetViews>
    <sheetView zoomScaleNormal="100" workbookViewId="0">
      <selection activeCell="H5" sqref="H5"/>
    </sheetView>
  </sheetViews>
  <sheetFormatPr defaultColWidth="10.85546875" defaultRowHeight="15" x14ac:dyDescent="0.25"/>
  <cols>
    <col min="1" max="1" width="14" style="19" customWidth="1"/>
    <col min="2" max="2" width="33" style="19" customWidth="1"/>
    <col min="3" max="3" width="17.7109375" style="19" customWidth="1"/>
    <col min="4" max="4" width="20.28515625" style="19" customWidth="1"/>
    <col min="5" max="5" width="10.85546875" style="19"/>
    <col min="6" max="6" width="18.85546875" style="19" customWidth="1"/>
    <col min="7" max="16384" width="10.85546875" style="19"/>
  </cols>
  <sheetData>
    <row r="1" spans="1:38" ht="16.5" x14ac:dyDescent="0.3">
      <c r="A1" s="13"/>
      <c r="B1" s="13"/>
      <c r="C1" s="13"/>
      <c r="D1" s="93" t="s">
        <v>126</v>
      </c>
      <c r="E1" s="87"/>
      <c r="F1" s="87"/>
      <c r="G1" s="87"/>
      <c r="H1" s="13"/>
      <c r="I1" s="13"/>
      <c r="J1" s="13"/>
      <c r="K1" s="13"/>
      <c r="L1" s="13"/>
      <c r="M1" s="13"/>
      <c r="N1" s="13"/>
      <c r="O1" s="13"/>
      <c r="P1" s="13"/>
      <c r="Q1" s="1"/>
      <c r="R1" s="1"/>
      <c r="S1" s="1"/>
      <c r="T1" s="1"/>
      <c r="U1" s="1"/>
      <c r="V1" s="1"/>
      <c r="W1" s="1"/>
      <c r="X1" s="1"/>
      <c r="Y1" s="1"/>
      <c r="Z1" s="1"/>
      <c r="AA1" s="1"/>
      <c r="AB1" s="1"/>
      <c r="AC1" s="1"/>
      <c r="AD1" s="1"/>
      <c r="AE1" s="1"/>
      <c r="AF1" s="1"/>
      <c r="AG1" s="1"/>
      <c r="AH1" s="1"/>
      <c r="AI1" s="1"/>
      <c r="AJ1" s="1"/>
      <c r="AK1" s="1"/>
      <c r="AL1" s="1"/>
    </row>
    <row r="2" spans="1:38" ht="16.5" x14ac:dyDescent="0.3">
      <c r="A2" s="13"/>
      <c r="B2" s="13"/>
      <c r="C2" s="13"/>
      <c r="D2" s="87"/>
      <c r="E2" s="87"/>
      <c r="F2" s="87"/>
      <c r="G2" s="87"/>
      <c r="H2" s="13"/>
      <c r="I2" s="13"/>
      <c r="J2" s="13"/>
      <c r="K2" s="13"/>
      <c r="L2" s="13"/>
      <c r="M2" s="13"/>
      <c r="N2" s="13"/>
      <c r="O2" s="13"/>
      <c r="P2" s="13"/>
      <c r="Q2" s="1"/>
      <c r="R2" s="1"/>
      <c r="S2" s="1"/>
      <c r="T2" s="1"/>
      <c r="U2" s="1"/>
      <c r="V2" s="1"/>
      <c r="W2" s="1"/>
      <c r="X2" s="1"/>
      <c r="Y2" s="1"/>
      <c r="Z2" s="1"/>
      <c r="AA2" s="1"/>
      <c r="AB2" s="1"/>
      <c r="AC2" s="1"/>
      <c r="AD2" s="1"/>
      <c r="AE2" s="1"/>
      <c r="AF2" s="1"/>
      <c r="AG2" s="1"/>
      <c r="AH2" s="1"/>
      <c r="AI2" s="1"/>
      <c r="AJ2" s="1"/>
      <c r="AK2" s="1"/>
      <c r="AL2" s="1"/>
    </row>
    <row r="3" spans="1:38" ht="16.5" x14ac:dyDescent="0.3">
      <c r="A3" s="13"/>
      <c r="B3" s="13"/>
      <c r="C3" s="13"/>
      <c r="D3" s="87"/>
      <c r="E3" s="87"/>
      <c r="F3" s="87"/>
      <c r="G3" s="87"/>
      <c r="H3" s="13"/>
      <c r="I3" s="13"/>
      <c r="J3" s="13"/>
      <c r="K3" s="13"/>
      <c r="L3" s="13"/>
      <c r="M3" s="13"/>
      <c r="N3" s="13"/>
      <c r="O3" s="13"/>
      <c r="P3" s="13"/>
      <c r="Q3" s="1"/>
      <c r="R3" s="1"/>
      <c r="S3" s="1"/>
      <c r="T3" s="1"/>
      <c r="U3" s="1"/>
      <c r="V3" s="1"/>
      <c r="W3" s="1"/>
      <c r="X3" s="1"/>
      <c r="Y3" s="1"/>
      <c r="Z3" s="1"/>
      <c r="AA3" s="1"/>
      <c r="AB3" s="1"/>
      <c r="AC3" s="1"/>
      <c r="AD3" s="1"/>
      <c r="AE3" s="1"/>
      <c r="AF3" s="1"/>
      <c r="AG3" s="1"/>
      <c r="AH3" s="1"/>
      <c r="AI3" s="1"/>
      <c r="AJ3" s="1"/>
      <c r="AK3" s="1"/>
      <c r="AL3" s="1"/>
    </row>
    <row r="4" spans="1:38" ht="17.25" x14ac:dyDescent="0.35">
      <c r="A4" s="84" t="s">
        <v>225</v>
      </c>
      <c r="B4" s="84" t="s">
        <v>175</v>
      </c>
      <c r="C4" s="84" t="s">
        <v>181</v>
      </c>
      <c r="D4" s="84" t="s">
        <v>182</v>
      </c>
      <c r="E4" s="84" t="s">
        <v>183</v>
      </c>
      <c r="F4" s="84" t="s">
        <v>102</v>
      </c>
      <c r="G4" s="84" t="s">
        <v>113</v>
      </c>
      <c r="H4" s="84" t="s">
        <v>180</v>
      </c>
      <c r="I4" s="23"/>
      <c r="J4" s="23"/>
      <c r="K4" s="23"/>
      <c r="L4" s="23"/>
      <c r="M4" s="23"/>
      <c r="N4" s="23"/>
      <c r="O4" s="23"/>
      <c r="P4" s="23"/>
    </row>
    <row r="5" spans="1:38" ht="16.5" x14ac:dyDescent="0.3">
      <c r="A5" s="35">
        <v>44900</v>
      </c>
      <c r="B5" s="32"/>
      <c r="C5" s="32" t="s">
        <v>261</v>
      </c>
      <c r="D5" s="32">
        <v>7</v>
      </c>
      <c r="E5" s="32" t="s">
        <v>24</v>
      </c>
      <c r="F5" s="32"/>
      <c r="G5" s="32">
        <v>0</v>
      </c>
      <c r="H5" s="82">
        <v>0</v>
      </c>
      <c r="I5" s="23"/>
      <c r="J5" s="23"/>
      <c r="K5" s="23"/>
      <c r="L5" s="23"/>
      <c r="M5" s="23"/>
      <c r="N5" s="23"/>
      <c r="O5" s="23"/>
      <c r="P5" s="23"/>
    </row>
    <row r="6" spans="1:38" ht="16.5" x14ac:dyDescent="0.3">
      <c r="A6" s="35">
        <v>44899</v>
      </c>
      <c r="B6" s="32" t="s">
        <v>189</v>
      </c>
      <c r="C6" s="32" t="s">
        <v>234</v>
      </c>
      <c r="D6" s="32">
        <v>4</v>
      </c>
      <c r="E6" s="32" t="s">
        <v>21</v>
      </c>
      <c r="F6" s="32" t="s">
        <v>95</v>
      </c>
      <c r="G6" s="32">
        <v>1</v>
      </c>
      <c r="H6" s="82">
        <v>8.6292000000000009</v>
      </c>
      <c r="I6" s="23"/>
      <c r="J6" s="23"/>
      <c r="K6" s="23"/>
      <c r="L6" s="23"/>
      <c r="M6" s="23"/>
      <c r="N6" s="23"/>
      <c r="O6" s="23"/>
      <c r="P6" s="23"/>
    </row>
    <row r="7" spans="1:38" ht="16.5" x14ac:dyDescent="0.3">
      <c r="A7" s="35">
        <v>44899</v>
      </c>
      <c r="B7" s="32" t="s">
        <v>212</v>
      </c>
      <c r="C7" s="32" t="s">
        <v>17</v>
      </c>
      <c r="D7" s="32">
        <v>3</v>
      </c>
      <c r="E7" s="32" t="s">
        <v>21</v>
      </c>
      <c r="F7" s="32" t="s">
        <v>72</v>
      </c>
      <c r="G7" s="32">
        <v>2</v>
      </c>
      <c r="H7" s="82">
        <v>17.258400000000002</v>
      </c>
      <c r="I7" s="23"/>
      <c r="J7" s="23"/>
      <c r="K7" s="23"/>
      <c r="L7" s="23"/>
      <c r="M7" s="23"/>
      <c r="N7" s="23"/>
      <c r="O7" s="23"/>
      <c r="P7" s="23"/>
    </row>
    <row r="8" spans="1:38" ht="16.5" x14ac:dyDescent="0.3">
      <c r="A8" s="35">
        <v>44899</v>
      </c>
      <c r="B8" s="32" t="s">
        <v>187</v>
      </c>
      <c r="C8" s="32" t="s">
        <v>233</v>
      </c>
      <c r="D8" s="32">
        <v>2</v>
      </c>
      <c r="E8" s="32" t="s">
        <v>21</v>
      </c>
      <c r="F8" s="32" t="s">
        <v>97</v>
      </c>
      <c r="G8" s="32">
        <v>4</v>
      </c>
      <c r="H8" s="82">
        <v>34.516800000000003</v>
      </c>
      <c r="I8" s="23"/>
      <c r="J8" s="23"/>
      <c r="K8" s="23"/>
      <c r="L8" s="23"/>
      <c r="M8" s="23"/>
      <c r="N8" s="23"/>
      <c r="O8" s="23"/>
      <c r="P8" s="23"/>
    </row>
    <row r="9" spans="1:38" ht="16.5" x14ac:dyDescent="0.3">
      <c r="A9" s="35">
        <v>44899</v>
      </c>
      <c r="B9" s="32" t="s">
        <v>187</v>
      </c>
      <c r="C9" s="32" t="s">
        <v>232</v>
      </c>
      <c r="D9" s="32">
        <v>1</v>
      </c>
      <c r="E9" s="32" t="s">
        <v>21</v>
      </c>
      <c r="F9" s="32" t="s">
        <v>97</v>
      </c>
      <c r="G9" s="32">
        <v>8</v>
      </c>
      <c r="H9" s="82">
        <v>69.033600000000007</v>
      </c>
      <c r="I9" s="23"/>
      <c r="J9" s="23"/>
      <c r="K9" s="23"/>
      <c r="L9" s="23"/>
      <c r="M9" s="23"/>
      <c r="N9" s="23"/>
      <c r="O9" s="23"/>
      <c r="P9" s="23"/>
    </row>
    <row r="10" spans="1:38" ht="16.5" x14ac:dyDescent="0.3">
      <c r="A10" s="35"/>
      <c r="B10" s="32"/>
      <c r="C10" s="32"/>
      <c r="D10" s="32"/>
      <c r="E10" s="32"/>
      <c r="F10" s="32"/>
      <c r="G10" s="32"/>
      <c r="H10" s="82"/>
      <c r="I10" s="23"/>
      <c r="J10" s="23"/>
      <c r="K10" s="23"/>
      <c r="L10" s="23"/>
      <c r="M10" s="23"/>
      <c r="N10" s="23"/>
      <c r="O10" s="23"/>
      <c r="P10" s="23"/>
    </row>
    <row r="11" spans="1:38" ht="16.5" x14ac:dyDescent="0.3">
      <c r="A11" s="35"/>
      <c r="B11" s="32"/>
      <c r="C11" s="32"/>
      <c r="D11" s="32"/>
      <c r="E11" s="32"/>
      <c r="F11" s="32"/>
      <c r="G11" s="32"/>
      <c r="H11" s="82"/>
      <c r="I11" s="23"/>
      <c r="J11" s="23"/>
      <c r="K11" s="23"/>
      <c r="L11" s="23"/>
      <c r="M11" s="23"/>
      <c r="N11" s="23"/>
      <c r="O11" s="23"/>
      <c r="P11" s="23"/>
    </row>
    <row r="12" spans="1:38" ht="16.5" x14ac:dyDescent="0.3">
      <c r="A12" s="83"/>
      <c r="B12" s="32"/>
      <c r="C12" s="32"/>
      <c r="D12" s="32"/>
      <c r="E12" s="32"/>
      <c r="F12" s="32"/>
      <c r="G12" s="32"/>
      <c r="H12" s="82"/>
      <c r="I12" s="23"/>
      <c r="J12" s="23"/>
      <c r="K12" s="23"/>
      <c r="L12" s="23"/>
      <c r="M12" s="23"/>
      <c r="N12" s="23"/>
      <c r="O12" s="23"/>
      <c r="P12" s="23"/>
    </row>
    <row r="13" spans="1:38" ht="16.5" x14ac:dyDescent="0.3">
      <c r="A13" s="35"/>
      <c r="B13" s="32"/>
      <c r="C13" s="32"/>
      <c r="D13" s="32"/>
      <c r="E13" s="32"/>
      <c r="F13" s="32"/>
      <c r="G13" s="32"/>
      <c r="H13" s="82"/>
      <c r="I13" s="23"/>
      <c r="J13" s="23"/>
      <c r="K13" s="23"/>
      <c r="L13" s="23"/>
      <c r="M13" s="23"/>
      <c r="N13" s="23"/>
      <c r="O13" s="23"/>
      <c r="P13" s="23"/>
    </row>
    <row r="14" spans="1:38" ht="16.5" x14ac:dyDescent="0.3">
      <c r="A14" s="35"/>
      <c r="B14" s="32"/>
      <c r="C14" s="32"/>
      <c r="D14" s="32"/>
      <c r="E14" s="32"/>
      <c r="F14" s="32"/>
      <c r="G14" s="32"/>
      <c r="H14" s="82"/>
      <c r="I14" s="23"/>
      <c r="J14" s="23"/>
      <c r="K14" s="23"/>
      <c r="L14" s="23"/>
      <c r="M14" s="23"/>
      <c r="N14" s="23"/>
      <c r="O14" s="23"/>
      <c r="P14" s="23"/>
    </row>
    <row r="15" spans="1:38" ht="16.5" x14ac:dyDescent="0.3">
      <c r="A15" s="32"/>
      <c r="B15" s="32"/>
      <c r="C15" s="32"/>
      <c r="D15" s="32"/>
      <c r="E15" s="32"/>
      <c r="F15" s="32"/>
      <c r="G15" s="32"/>
      <c r="H15" s="32"/>
      <c r="I15" s="23"/>
      <c r="J15" s="23"/>
      <c r="K15" s="23"/>
      <c r="L15" s="23"/>
      <c r="M15" s="23"/>
      <c r="N15" s="23"/>
      <c r="O15" s="23"/>
      <c r="P15" s="23"/>
    </row>
    <row r="16" spans="1:38" ht="16.5" x14ac:dyDescent="0.3">
      <c r="A16" s="32"/>
      <c r="B16" s="32"/>
      <c r="C16" s="32"/>
      <c r="D16" s="32"/>
      <c r="E16" s="32"/>
      <c r="F16" s="32"/>
      <c r="G16" s="32"/>
      <c r="H16" s="32"/>
      <c r="I16" s="23"/>
      <c r="J16" s="23"/>
      <c r="K16" s="23"/>
      <c r="L16" s="23"/>
      <c r="M16" s="23"/>
      <c r="N16" s="23"/>
      <c r="O16" s="23"/>
      <c r="P16" s="23"/>
    </row>
    <row r="17" spans="1:16" ht="16.5" x14ac:dyDescent="0.3">
      <c r="A17" s="32"/>
      <c r="B17" s="32"/>
      <c r="C17" s="32"/>
      <c r="D17" s="32"/>
      <c r="E17" s="32"/>
      <c r="F17" s="32"/>
      <c r="G17" s="32"/>
      <c r="H17" s="32"/>
      <c r="I17" s="23"/>
      <c r="J17" s="23"/>
      <c r="K17" s="23"/>
      <c r="L17" s="23"/>
      <c r="M17" s="23"/>
      <c r="N17" s="23"/>
      <c r="O17" s="23"/>
      <c r="P17" s="23"/>
    </row>
    <row r="18" spans="1:16" ht="16.5" x14ac:dyDescent="0.3">
      <c r="A18" s="32"/>
      <c r="B18" s="32"/>
      <c r="C18" s="32"/>
      <c r="D18" s="32"/>
      <c r="E18" s="32"/>
      <c r="F18" s="32"/>
      <c r="G18" s="32"/>
      <c r="H18" s="32"/>
      <c r="I18" s="23"/>
      <c r="J18" s="23"/>
      <c r="K18" s="23"/>
      <c r="L18" s="23"/>
      <c r="M18" s="23"/>
      <c r="N18" s="23"/>
      <c r="O18" s="23"/>
      <c r="P18" s="23"/>
    </row>
    <row r="19" spans="1:16" ht="16.5" x14ac:dyDescent="0.3">
      <c r="A19" s="32"/>
      <c r="B19" s="32"/>
      <c r="C19" s="32"/>
      <c r="D19" s="32"/>
      <c r="E19" s="32"/>
      <c r="F19" s="32"/>
      <c r="G19" s="32"/>
      <c r="H19" s="32"/>
      <c r="I19" s="23"/>
      <c r="J19" s="23"/>
      <c r="K19" s="23"/>
      <c r="L19" s="23"/>
      <c r="M19" s="23"/>
      <c r="N19" s="23"/>
      <c r="O19" s="23"/>
      <c r="P19" s="23"/>
    </row>
    <row r="20" spans="1:16" ht="16.5" x14ac:dyDescent="0.3">
      <c r="A20" s="32"/>
      <c r="B20" s="32"/>
      <c r="C20" s="32"/>
      <c r="D20" s="32"/>
      <c r="E20" s="32"/>
      <c r="F20" s="32"/>
      <c r="G20" s="32"/>
      <c r="H20" s="32"/>
      <c r="I20" s="23"/>
      <c r="J20" s="23"/>
      <c r="K20" s="23"/>
      <c r="L20" s="23"/>
      <c r="M20" s="23"/>
      <c r="N20" s="23"/>
      <c r="O20" s="23"/>
      <c r="P20" s="23"/>
    </row>
    <row r="21" spans="1:16" ht="16.5" x14ac:dyDescent="0.3">
      <c r="A21" s="32"/>
      <c r="B21" s="32"/>
      <c r="C21" s="32"/>
      <c r="D21" s="32"/>
      <c r="E21" s="32"/>
      <c r="F21" s="32"/>
      <c r="G21" s="32"/>
      <c r="H21" s="32"/>
      <c r="I21" s="23"/>
      <c r="J21" s="23"/>
      <c r="K21" s="23"/>
      <c r="L21" s="23"/>
      <c r="M21" s="23"/>
      <c r="N21" s="23"/>
      <c r="O21" s="23"/>
      <c r="P21" s="23"/>
    </row>
    <row r="22" spans="1:16" ht="16.5" x14ac:dyDescent="0.3">
      <c r="A22" s="32"/>
      <c r="B22" s="32"/>
      <c r="C22" s="32"/>
      <c r="D22" s="32"/>
      <c r="E22" s="32"/>
      <c r="F22" s="32"/>
      <c r="G22" s="32"/>
      <c r="H22" s="32"/>
      <c r="I22" s="23"/>
      <c r="J22" s="23"/>
      <c r="K22" s="23"/>
      <c r="L22" s="23"/>
      <c r="M22" s="23"/>
      <c r="N22" s="23"/>
      <c r="O22" s="23"/>
      <c r="P22" s="23"/>
    </row>
    <row r="23" spans="1:16" ht="16.5" x14ac:dyDescent="0.3">
      <c r="A23" s="32"/>
      <c r="B23" s="32"/>
      <c r="C23" s="32"/>
      <c r="D23" s="32"/>
      <c r="E23" s="32"/>
      <c r="F23" s="32"/>
      <c r="G23" s="32"/>
      <c r="H23" s="32"/>
      <c r="I23" s="23"/>
      <c r="J23" s="23"/>
      <c r="K23" s="23"/>
      <c r="L23" s="23"/>
      <c r="M23" s="23"/>
      <c r="N23" s="23"/>
      <c r="O23" s="23"/>
      <c r="P23" s="23"/>
    </row>
    <row r="24" spans="1:16" ht="16.5" x14ac:dyDescent="0.3">
      <c r="A24" s="32"/>
      <c r="B24" s="32"/>
      <c r="C24" s="32"/>
      <c r="D24" s="32"/>
      <c r="E24" s="32"/>
      <c r="F24" s="32"/>
      <c r="G24" s="32"/>
      <c r="H24" s="32"/>
      <c r="I24" s="23"/>
      <c r="J24" s="23"/>
      <c r="K24" s="23"/>
      <c r="L24" s="23"/>
      <c r="M24" s="23"/>
      <c r="N24" s="23"/>
      <c r="O24" s="23"/>
      <c r="P24" s="23"/>
    </row>
    <row r="25" spans="1:16" ht="16.5" x14ac:dyDescent="0.3">
      <c r="A25" s="32"/>
      <c r="B25" s="32"/>
      <c r="C25" s="32"/>
      <c r="D25" s="32"/>
      <c r="E25" s="32"/>
      <c r="F25" s="32"/>
      <c r="G25" s="32"/>
      <c r="H25" s="32"/>
      <c r="I25" s="23"/>
      <c r="J25" s="23"/>
      <c r="K25" s="23"/>
      <c r="L25" s="23"/>
      <c r="M25" s="23"/>
      <c r="N25" s="23"/>
      <c r="O25" s="23"/>
      <c r="P25" s="23"/>
    </row>
    <row r="26" spans="1:16" ht="16.5" x14ac:dyDescent="0.3">
      <c r="A26" s="32"/>
      <c r="B26" s="32"/>
      <c r="C26" s="32"/>
      <c r="D26" s="32"/>
      <c r="E26" s="32"/>
      <c r="F26" s="32"/>
      <c r="G26" s="32"/>
      <c r="H26" s="32"/>
      <c r="I26" s="23"/>
      <c r="J26" s="23"/>
      <c r="K26" s="23"/>
      <c r="L26" s="23"/>
      <c r="M26" s="23"/>
      <c r="N26" s="23"/>
      <c r="O26" s="23"/>
      <c r="P26" s="23"/>
    </row>
    <row r="27" spans="1:16" ht="16.5" x14ac:dyDescent="0.3">
      <c r="A27" s="32"/>
      <c r="B27" s="32"/>
      <c r="C27" s="32"/>
      <c r="D27" s="32"/>
      <c r="E27" s="32"/>
      <c r="F27" s="32"/>
      <c r="G27" s="32"/>
      <c r="H27" s="32"/>
      <c r="I27" s="23"/>
      <c r="J27" s="23"/>
      <c r="K27" s="23"/>
      <c r="L27" s="23"/>
      <c r="M27" s="23"/>
      <c r="N27" s="23"/>
      <c r="O27" s="23"/>
      <c r="P27" s="23"/>
    </row>
    <row r="28" spans="1:16" ht="16.5" x14ac:dyDescent="0.3">
      <c r="A28" s="23"/>
      <c r="B28" s="23"/>
      <c r="C28" s="23"/>
      <c r="D28" s="23"/>
      <c r="E28" s="23"/>
      <c r="F28" s="23"/>
      <c r="G28" s="23"/>
      <c r="H28" s="23"/>
      <c r="I28" s="23"/>
      <c r="J28" s="23"/>
      <c r="K28" s="23"/>
      <c r="L28" s="23"/>
      <c r="M28" s="23"/>
      <c r="N28" s="23"/>
      <c r="O28" s="23"/>
      <c r="P28" s="23"/>
    </row>
    <row r="29" spans="1:16" ht="16.5" x14ac:dyDescent="0.3">
      <c r="A29" s="23"/>
      <c r="B29" s="23"/>
      <c r="C29" s="23"/>
      <c r="D29" s="23"/>
      <c r="E29" s="23"/>
      <c r="F29" s="23"/>
      <c r="G29" s="23"/>
      <c r="H29" s="23"/>
      <c r="I29" s="23"/>
      <c r="J29" s="23"/>
      <c r="K29" s="23"/>
      <c r="L29" s="23"/>
      <c r="M29" s="23"/>
      <c r="N29" s="23"/>
      <c r="O29" s="23"/>
      <c r="P29" s="23"/>
    </row>
    <row r="30" spans="1:16" ht="16.5" x14ac:dyDescent="0.3">
      <c r="A30" s="23"/>
      <c r="B30" s="23"/>
      <c r="C30" s="23"/>
      <c r="D30" s="23"/>
      <c r="E30" s="23"/>
      <c r="F30" s="23"/>
      <c r="G30" s="23"/>
      <c r="H30" s="23"/>
      <c r="I30" s="23"/>
      <c r="J30" s="23"/>
      <c r="K30" s="23"/>
      <c r="L30" s="23"/>
      <c r="M30" s="23"/>
      <c r="N30" s="23"/>
      <c r="O30" s="23"/>
      <c r="P30" s="23"/>
    </row>
    <row r="31" spans="1:16" ht="16.5" x14ac:dyDescent="0.3">
      <c r="A31" s="23"/>
      <c r="B31" s="23"/>
      <c r="C31" s="23"/>
      <c r="D31" s="23"/>
      <c r="E31" s="23"/>
      <c r="F31" s="23"/>
      <c r="G31" s="23"/>
      <c r="H31" s="23"/>
      <c r="I31" s="23"/>
      <c r="J31" s="23"/>
      <c r="K31" s="23"/>
      <c r="L31" s="23"/>
      <c r="M31" s="23"/>
      <c r="N31" s="23"/>
      <c r="O31" s="23"/>
      <c r="P31" s="23"/>
    </row>
    <row r="32" spans="1:16" ht="16.5" x14ac:dyDescent="0.3">
      <c r="A32" s="23"/>
      <c r="B32" s="23"/>
      <c r="C32" s="23"/>
      <c r="D32" s="23"/>
      <c r="E32" s="23"/>
      <c r="F32" s="23"/>
      <c r="G32" s="23"/>
      <c r="H32" s="23"/>
      <c r="I32" s="23"/>
      <c r="J32" s="23"/>
      <c r="K32" s="23"/>
      <c r="L32" s="23"/>
      <c r="M32" s="23"/>
      <c r="N32" s="23"/>
      <c r="O32" s="23"/>
      <c r="P32" s="23"/>
    </row>
    <row r="33" spans="1:16" ht="16.5" x14ac:dyDescent="0.3">
      <c r="A33" s="23"/>
      <c r="B33" s="23"/>
      <c r="C33" s="23"/>
      <c r="D33" s="23"/>
      <c r="E33" s="23"/>
      <c r="F33" s="23"/>
      <c r="G33" s="23"/>
      <c r="H33" s="23"/>
      <c r="I33" s="23"/>
      <c r="J33" s="23"/>
      <c r="K33" s="23"/>
      <c r="L33" s="23"/>
      <c r="M33" s="23"/>
      <c r="N33" s="23"/>
      <c r="O33" s="23"/>
      <c r="P33" s="23"/>
    </row>
    <row r="34" spans="1:16" ht="16.5" x14ac:dyDescent="0.3">
      <c r="A34" s="23"/>
      <c r="B34" s="23"/>
      <c r="C34" s="23"/>
      <c r="D34" s="23"/>
      <c r="E34" s="23"/>
      <c r="F34" s="23"/>
      <c r="G34" s="23"/>
      <c r="H34" s="23"/>
      <c r="I34" s="23"/>
      <c r="J34" s="23"/>
      <c r="K34" s="23"/>
      <c r="L34" s="23"/>
      <c r="M34" s="23"/>
      <c r="N34" s="23"/>
      <c r="O34" s="23"/>
      <c r="P34" s="23"/>
    </row>
    <row r="35" spans="1:16" ht="16.5" x14ac:dyDescent="0.3">
      <c r="A35" s="23"/>
      <c r="B35" s="23"/>
      <c r="C35" s="23"/>
      <c r="D35" s="23"/>
      <c r="E35" s="23"/>
      <c r="F35" s="23"/>
      <c r="G35" s="23"/>
      <c r="H35" s="23"/>
      <c r="I35" s="23"/>
      <c r="J35" s="23"/>
      <c r="K35" s="23"/>
      <c r="L35" s="23"/>
      <c r="M35" s="23"/>
      <c r="N35" s="23"/>
      <c r="O35" s="23"/>
      <c r="P35" s="23"/>
    </row>
    <row r="36" spans="1:16" ht="16.5" x14ac:dyDescent="0.3">
      <c r="A36" s="23"/>
      <c r="B36" s="23"/>
      <c r="C36" s="23"/>
      <c r="D36" s="23"/>
      <c r="E36" s="23"/>
      <c r="F36" s="23"/>
      <c r="G36" s="23"/>
      <c r="H36" s="23"/>
      <c r="I36" s="23"/>
      <c r="J36" s="23"/>
      <c r="K36" s="23"/>
      <c r="L36" s="23"/>
      <c r="M36" s="23"/>
      <c r="N36" s="23"/>
      <c r="O36" s="23"/>
      <c r="P36" s="23"/>
    </row>
    <row r="37" spans="1:16" ht="16.5" x14ac:dyDescent="0.3">
      <c r="A37" s="23"/>
      <c r="B37" s="23"/>
      <c r="C37" s="23"/>
      <c r="D37" s="23"/>
      <c r="E37" s="23"/>
      <c r="F37" s="23"/>
      <c r="G37" s="23"/>
      <c r="H37" s="23"/>
      <c r="I37" s="23"/>
      <c r="J37" s="23"/>
      <c r="K37" s="23"/>
      <c r="L37" s="23"/>
      <c r="M37" s="23"/>
      <c r="N37" s="23"/>
      <c r="O37" s="23"/>
      <c r="P37" s="23"/>
    </row>
    <row r="38" spans="1:16" ht="16.5" x14ac:dyDescent="0.3">
      <c r="A38" s="23"/>
      <c r="B38" s="23"/>
      <c r="C38" s="23"/>
      <c r="D38" s="23"/>
      <c r="E38" s="23"/>
      <c r="F38" s="23"/>
      <c r="G38" s="23"/>
      <c r="H38" s="23"/>
      <c r="I38" s="23"/>
      <c r="J38" s="23"/>
      <c r="K38" s="23"/>
      <c r="L38" s="23"/>
      <c r="M38" s="23"/>
      <c r="N38" s="23"/>
      <c r="O38" s="23"/>
      <c r="P38" s="23"/>
    </row>
    <row r="39" spans="1:16" ht="16.5" x14ac:dyDescent="0.3">
      <c r="A39" s="23"/>
      <c r="B39" s="23"/>
      <c r="C39" s="23"/>
      <c r="D39" s="23"/>
      <c r="E39" s="23"/>
      <c r="F39" s="23"/>
      <c r="G39" s="23"/>
      <c r="H39" s="23"/>
      <c r="I39" s="23"/>
      <c r="J39" s="23"/>
      <c r="K39" s="23"/>
      <c r="L39" s="23"/>
      <c r="M39" s="23"/>
      <c r="N39" s="23"/>
      <c r="O39" s="23"/>
      <c r="P39" s="23"/>
    </row>
    <row r="40" spans="1:16" ht="16.5" x14ac:dyDescent="0.3">
      <c r="A40" s="23"/>
      <c r="B40" s="23"/>
      <c r="C40" s="23"/>
      <c r="D40" s="23"/>
      <c r="E40" s="23"/>
      <c r="F40" s="23"/>
      <c r="G40" s="23"/>
      <c r="H40" s="23"/>
      <c r="I40" s="23"/>
      <c r="J40" s="23"/>
      <c r="K40" s="23"/>
      <c r="L40" s="23"/>
      <c r="M40" s="23"/>
      <c r="N40" s="23"/>
      <c r="O40" s="23"/>
      <c r="P40" s="23"/>
    </row>
    <row r="41" spans="1:16" ht="16.5" x14ac:dyDescent="0.3">
      <c r="A41" s="23"/>
      <c r="B41" s="23"/>
      <c r="C41" s="23"/>
      <c r="D41" s="23"/>
      <c r="E41" s="23"/>
      <c r="F41" s="23"/>
      <c r="G41" s="23"/>
      <c r="H41" s="23"/>
      <c r="I41" s="23"/>
      <c r="J41" s="23"/>
      <c r="K41" s="23"/>
      <c r="L41" s="23"/>
      <c r="M41" s="23"/>
      <c r="N41" s="23"/>
      <c r="O41" s="23"/>
      <c r="P41" s="23"/>
    </row>
    <row r="42" spans="1:16" ht="16.5" x14ac:dyDescent="0.3">
      <c r="A42" s="23"/>
      <c r="B42" s="23"/>
      <c r="C42" s="23"/>
      <c r="D42" s="23"/>
      <c r="E42" s="23"/>
      <c r="F42" s="23"/>
      <c r="G42" s="23"/>
      <c r="H42" s="23"/>
      <c r="I42" s="23"/>
      <c r="J42" s="23"/>
      <c r="K42" s="23"/>
      <c r="L42" s="23"/>
      <c r="M42" s="23"/>
      <c r="N42" s="23"/>
      <c r="O42" s="23"/>
      <c r="P42" s="23"/>
    </row>
    <row r="43" spans="1:16" ht="16.5" x14ac:dyDescent="0.3">
      <c r="A43" s="23"/>
      <c r="B43" s="23"/>
      <c r="C43" s="23"/>
      <c r="D43" s="23"/>
      <c r="E43" s="23"/>
      <c r="F43" s="23"/>
      <c r="G43" s="23"/>
      <c r="H43" s="23"/>
      <c r="I43" s="23"/>
      <c r="J43" s="23"/>
      <c r="K43" s="23"/>
      <c r="L43" s="23"/>
      <c r="M43" s="23"/>
      <c r="N43" s="23"/>
      <c r="O43" s="23"/>
      <c r="P43" s="23"/>
    </row>
    <row r="44" spans="1:16" ht="16.5" x14ac:dyDescent="0.3">
      <c r="A44" s="23"/>
      <c r="B44" s="23"/>
      <c r="C44" s="23"/>
      <c r="D44" s="23"/>
      <c r="E44" s="23"/>
      <c r="F44" s="23"/>
      <c r="G44" s="23"/>
      <c r="H44" s="23"/>
      <c r="I44" s="23"/>
      <c r="J44" s="23"/>
      <c r="K44" s="23"/>
      <c r="L44" s="23"/>
      <c r="M44" s="23"/>
      <c r="N44" s="23"/>
      <c r="O44" s="23"/>
      <c r="P44" s="23"/>
    </row>
    <row r="45" spans="1:16" ht="16.5" x14ac:dyDescent="0.3">
      <c r="A45" s="23"/>
      <c r="B45" s="23"/>
      <c r="C45" s="23"/>
      <c r="D45" s="23"/>
      <c r="E45" s="23"/>
      <c r="F45" s="23"/>
      <c r="G45" s="23"/>
      <c r="H45" s="23"/>
      <c r="I45" s="23"/>
      <c r="J45" s="23"/>
      <c r="K45" s="23"/>
      <c r="L45" s="23"/>
      <c r="M45" s="23"/>
      <c r="N45" s="23"/>
      <c r="O45" s="23"/>
      <c r="P45" s="23"/>
    </row>
    <row r="46" spans="1:16" ht="16.5" x14ac:dyDescent="0.3">
      <c r="A46" s="23"/>
      <c r="B46" s="23"/>
      <c r="C46" s="23"/>
      <c r="D46" s="23"/>
      <c r="E46" s="23"/>
      <c r="F46" s="23"/>
      <c r="G46" s="23"/>
      <c r="H46" s="23"/>
      <c r="I46" s="23"/>
      <c r="J46" s="23"/>
      <c r="K46" s="23"/>
      <c r="L46" s="23"/>
      <c r="M46" s="23"/>
      <c r="N46" s="23"/>
      <c r="O46" s="23"/>
      <c r="P46" s="23"/>
    </row>
    <row r="47" spans="1:16" ht="16.5" x14ac:dyDescent="0.3">
      <c r="A47" s="23"/>
      <c r="B47" s="23"/>
      <c r="C47" s="23"/>
      <c r="D47" s="23"/>
      <c r="E47" s="23"/>
      <c r="F47" s="23"/>
      <c r="G47" s="23"/>
      <c r="H47" s="23"/>
      <c r="I47" s="23"/>
      <c r="J47" s="23"/>
      <c r="K47" s="23"/>
      <c r="L47" s="23"/>
      <c r="M47" s="23"/>
      <c r="N47" s="23"/>
      <c r="O47" s="23"/>
      <c r="P47" s="23"/>
    </row>
    <row r="48" spans="1:16" ht="16.5" x14ac:dyDescent="0.3">
      <c r="A48" s="23"/>
      <c r="B48" s="23"/>
      <c r="C48" s="23"/>
      <c r="D48" s="23"/>
      <c r="E48" s="23"/>
      <c r="F48" s="23"/>
      <c r="G48" s="23"/>
      <c r="H48" s="23"/>
      <c r="I48" s="23"/>
      <c r="J48" s="23"/>
      <c r="K48" s="23"/>
      <c r="L48" s="23"/>
      <c r="M48" s="23"/>
      <c r="N48" s="23"/>
      <c r="O48" s="23"/>
      <c r="P48" s="23"/>
    </row>
    <row r="49" spans="1:16" ht="16.5" x14ac:dyDescent="0.3">
      <c r="A49" s="23"/>
      <c r="B49" s="23"/>
      <c r="C49" s="23"/>
      <c r="D49" s="23"/>
      <c r="E49" s="23"/>
      <c r="F49" s="23"/>
      <c r="G49" s="23"/>
      <c r="H49" s="23"/>
      <c r="I49" s="23"/>
      <c r="J49" s="23"/>
      <c r="K49" s="23"/>
      <c r="L49" s="23"/>
      <c r="M49" s="23"/>
      <c r="N49" s="23"/>
      <c r="O49" s="23"/>
      <c r="P49" s="23"/>
    </row>
    <row r="50" spans="1:16" ht="16.5" x14ac:dyDescent="0.3">
      <c r="A50" s="23"/>
      <c r="B50" s="23"/>
      <c r="C50" s="23"/>
      <c r="D50" s="23"/>
      <c r="E50" s="23"/>
      <c r="F50" s="23"/>
      <c r="G50" s="23"/>
      <c r="H50" s="23"/>
      <c r="I50" s="23"/>
      <c r="J50" s="23"/>
      <c r="K50" s="23"/>
      <c r="L50" s="23"/>
      <c r="M50" s="23"/>
      <c r="N50" s="23"/>
      <c r="O50" s="23"/>
      <c r="P50" s="23"/>
    </row>
    <row r="51" spans="1:16" ht="16.5" x14ac:dyDescent="0.3">
      <c r="A51" s="23"/>
      <c r="B51" s="23"/>
      <c r="C51" s="23"/>
      <c r="D51" s="23"/>
      <c r="E51" s="23"/>
      <c r="F51" s="23"/>
      <c r="G51" s="23"/>
      <c r="H51" s="23"/>
      <c r="I51" s="23"/>
      <c r="J51" s="23"/>
      <c r="K51" s="23"/>
      <c r="L51" s="23"/>
      <c r="M51" s="23"/>
      <c r="N51" s="23"/>
      <c r="O51" s="23"/>
      <c r="P51" s="23"/>
    </row>
    <row r="52" spans="1:16" ht="16.5" x14ac:dyDescent="0.3">
      <c r="A52" s="23"/>
      <c r="B52" s="23"/>
      <c r="C52" s="23"/>
      <c r="D52" s="23"/>
      <c r="E52" s="23"/>
      <c r="F52" s="23"/>
      <c r="G52" s="23"/>
      <c r="H52" s="23"/>
      <c r="I52" s="23"/>
      <c r="J52" s="23"/>
      <c r="K52" s="23"/>
      <c r="L52" s="23"/>
      <c r="M52" s="23"/>
      <c r="N52" s="23"/>
      <c r="O52" s="23"/>
      <c r="P52" s="23"/>
    </row>
    <row r="53" spans="1:16" ht="16.5" x14ac:dyDescent="0.3">
      <c r="A53" s="23"/>
      <c r="B53" s="23"/>
      <c r="C53" s="23"/>
      <c r="D53" s="23"/>
      <c r="E53" s="23"/>
      <c r="F53" s="23"/>
      <c r="G53" s="23"/>
      <c r="H53" s="23"/>
      <c r="I53" s="23"/>
      <c r="J53" s="23"/>
      <c r="K53" s="23"/>
      <c r="L53" s="23"/>
      <c r="M53" s="23"/>
      <c r="N53" s="23"/>
      <c r="O53" s="23"/>
      <c r="P53" s="23"/>
    </row>
    <row r="54" spans="1:16" ht="16.5" x14ac:dyDescent="0.3">
      <c r="A54" s="23"/>
      <c r="B54" s="23"/>
      <c r="C54" s="23"/>
      <c r="D54" s="23"/>
      <c r="E54" s="23"/>
      <c r="F54" s="23"/>
      <c r="G54" s="23"/>
      <c r="H54" s="23"/>
      <c r="I54" s="23"/>
      <c r="J54" s="23"/>
      <c r="K54" s="23"/>
      <c r="L54" s="23"/>
      <c r="M54" s="23"/>
      <c r="N54" s="23"/>
      <c r="O54" s="23"/>
      <c r="P54" s="23"/>
    </row>
    <row r="55" spans="1:16" ht="16.5" x14ac:dyDescent="0.3">
      <c r="A55" s="23"/>
      <c r="B55" s="23"/>
      <c r="C55" s="23"/>
      <c r="D55" s="23"/>
      <c r="E55" s="23"/>
      <c r="F55" s="23"/>
      <c r="G55" s="23"/>
      <c r="H55" s="23"/>
      <c r="I55" s="23"/>
      <c r="J55" s="23"/>
      <c r="K55" s="23"/>
      <c r="L55" s="23"/>
      <c r="M55" s="23"/>
      <c r="N55" s="23"/>
      <c r="O55" s="23"/>
      <c r="P55" s="23"/>
    </row>
    <row r="56" spans="1:16" ht="16.5" x14ac:dyDescent="0.3">
      <c r="A56" s="23"/>
      <c r="B56" s="23"/>
      <c r="C56" s="23"/>
      <c r="D56" s="23"/>
      <c r="E56" s="23"/>
      <c r="F56" s="23"/>
      <c r="G56" s="23"/>
      <c r="H56" s="23"/>
      <c r="I56" s="23"/>
      <c r="J56" s="23"/>
      <c r="K56" s="23"/>
      <c r="L56" s="23"/>
      <c r="M56" s="23"/>
      <c r="N56" s="23"/>
      <c r="O56" s="23"/>
      <c r="P56" s="23"/>
    </row>
    <row r="57" spans="1:16" ht="16.5" x14ac:dyDescent="0.3">
      <c r="A57" s="23"/>
      <c r="B57" s="23"/>
      <c r="C57" s="23"/>
      <c r="D57" s="23"/>
      <c r="E57" s="23"/>
      <c r="F57" s="23"/>
      <c r="G57" s="23"/>
      <c r="H57" s="23"/>
      <c r="I57" s="23"/>
      <c r="J57" s="23"/>
      <c r="K57" s="23"/>
      <c r="L57" s="23"/>
      <c r="M57" s="23"/>
      <c r="N57" s="23"/>
      <c r="O57" s="23"/>
      <c r="P57" s="23"/>
    </row>
    <row r="58" spans="1:16" ht="16.5" x14ac:dyDescent="0.3">
      <c r="A58" s="23"/>
      <c r="B58" s="23"/>
      <c r="C58" s="23"/>
      <c r="D58" s="23"/>
      <c r="E58" s="23"/>
      <c r="F58" s="23"/>
      <c r="G58" s="23"/>
      <c r="H58" s="23"/>
      <c r="I58" s="23"/>
      <c r="J58" s="23"/>
      <c r="K58" s="23"/>
      <c r="L58" s="23"/>
      <c r="M58" s="23"/>
      <c r="N58" s="23"/>
      <c r="O58" s="23"/>
      <c r="P58" s="23"/>
    </row>
  </sheetData>
  <mergeCells count="1">
    <mergeCell ref="D1:G3"/>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7411" r:id="rId5" name="CommandButton1">
          <controlPr defaultSize="0" autoLine="0" r:id="rId6">
            <anchor moveWithCells="1">
              <from>
                <xdr:col>10</xdr:col>
                <xdr:colOff>0</xdr:colOff>
                <xdr:row>0</xdr:row>
                <xdr:rowOff>133350</xdr:rowOff>
              </from>
              <to>
                <xdr:col>11</xdr:col>
                <xdr:colOff>514350</xdr:colOff>
                <xdr:row>2</xdr:row>
                <xdr:rowOff>142875</xdr:rowOff>
              </to>
            </anchor>
          </controlPr>
        </control>
      </mc:Choice>
      <mc:Fallback>
        <control shapeId="17411" r:id="rId5" name="CommandButton1"/>
      </mc:Fallback>
    </mc:AlternateContent>
    <mc:AlternateContent xmlns:mc="http://schemas.openxmlformats.org/markup-compatibility/2006">
      <mc:Choice Requires="x14">
        <control shapeId="17410" r:id="rId7" name="Button 2">
          <controlPr defaultSize="0" print="0" autoFill="0" autoPict="0" macro="[0]!Prev_Worksheet">
            <anchor moveWithCells="1" sizeWithCells="1">
              <from>
                <xdr:col>6</xdr:col>
                <xdr:colOff>171450</xdr:colOff>
                <xdr:row>1</xdr:row>
                <xdr:rowOff>28575</xdr:rowOff>
              </from>
              <to>
                <xdr:col>7</xdr:col>
                <xdr:colOff>152400</xdr:colOff>
                <xdr:row>2</xdr:row>
                <xdr:rowOff>104775</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270B65689E2254BBB37C4B5AD2FEE9E" ma:contentTypeVersion="5" ma:contentTypeDescription="Create a new document." ma:contentTypeScope="" ma:versionID="5e6da821ca07d26a60c97841040a7943">
  <xsd:schema xmlns:xsd="http://www.w3.org/2001/XMLSchema" xmlns:xs="http://www.w3.org/2001/XMLSchema" xmlns:p="http://schemas.microsoft.com/office/2006/metadata/properties" xmlns:ns3="758525b5-751d-4d83-adfd-07c0e926257e" xmlns:ns4="11ea6755-ad14-4db0-ae1a-b3422bd40a90" targetNamespace="http://schemas.microsoft.com/office/2006/metadata/properties" ma:root="true" ma:fieldsID="90fd76a7df3027e6a6d0c9bbd4020974" ns3:_="" ns4:_="">
    <xsd:import namespace="758525b5-751d-4d83-adfd-07c0e926257e"/>
    <xsd:import namespace="11ea6755-ad14-4db0-ae1a-b3422bd40a90"/>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8525b5-751d-4d83-adfd-07c0e926257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1ea6755-ad14-4db0-ae1a-b3422bd40a90"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9AA1912-CE8A-42C6-84C5-D454047B98B5}">
  <ds:schemaRefs>
    <ds:schemaRef ds:uri="http://schemas.microsoft.com/sharepoint/v3/contenttype/forms"/>
  </ds:schemaRefs>
</ds:datastoreItem>
</file>

<file path=customXml/itemProps2.xml><?xml version="1.0" encoding="utf-8"?>
<ds:datastoreItem xmlns:ds="http://schemas.openxmlformats.org/officeDocument/2006/customXml" ds:itemID="{D958866C-8707-492B-BB71-E799718799A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8525b5-751d-4d83-adfd-07c0e926257e"/>
    <ds:schemaRef ds:uri="11ea6755-ad14-4db0-ae1a-b3422bd40a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449E948-FCC9-47E6-9272-9A5377BCA12B}">
  <ds:schemaRefs>
    <ds:schemaRef ds:uri="http://purl.org/dc/dcmitype/"/>
    <ds:schemaRef ds:uri="http://schemas.microsoft.com/office/2006/documentManagement/types"/>
    <ds:schemaRef ds:uri="11ea6755-ad14-4db0-ae1a-b3422bd40a90"/>
    <ds:schemaRef ds:uri="http://purl.org/dc/terms/"/>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758525b5-751d-4d83-adfd-07c0e926257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Homepage</vt:lpstr>
      <vt:lpstr>Customers</vt:lpstr>
      <vt:lpstr>Invoice</vt:lpstr>
      <vt:lpstr>Products</vt:lpstr>
      <vt:lpstr>Inventory</vt:lpstr>
      <vt:lpstr>Employees</vt:lpstr>
      <vt:lpstr>Suppliers</vt:lpstr>
      <vt:lpstr>Transactions</vt:lpstr>
      <vt:lpstr>Suppliers!Criteria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Nicholas Schaefer</dc:creator>
  <cp:keywords/>
  <dc:description/>
  <cp:lastModifiedBy>Cooper Devoe</cp:lastModifiedBy>
  <cp:revision/>
  <cp:lastPrinted>2022-12-05T03:34:28Z</cp:lastPrinted>
  <dcterms:created xsi:type="dcterms:W3CDTF">2022-11-05T21:02:03Z</dcterms:created>
  <dcterms:modified xsi:type="dcterms:W3CDTF">2022-12-05T12:02:26Z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0x010100F270B65689E2254BBB37C4B5AD2FEE9E</vt:lpwstr>
  </property>
</Properties>
</file>